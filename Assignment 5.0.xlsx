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CB5C731E-9A3C-407B-AD2E-6DC0D01316DC}" xr6:coauthVersionLast="47" xr6:coauthVersionMax="47" xr10:uidLastSave="{00000000-0000-0000-0000-000000000000}"/>
  <bookViews>
    <workbookView xWindow="-120" yWindow="-120" windowWidth="20730" windowHeight="11160" firstSheet="4" activeTab="9" xr2:uid="{2E02CEF0-AA7E-48A7-86B4-DE4B69FE8F3E}"/>
  </bookViews>
  <sheets>
    <sheet name="Question=1" sheetId="1" r:id="rId1"/>
    <sheet name="Question=2" sheetId="2" r:id="rId2"/>
    <sheet name="Question=3" sheetId="3" r:id="rId3"/>
    <sheet name="Question= 4" sheetId="5" r:id="rId4"/>
    <sheet name="Question= 5" sheetId="7" r:id="rId5"/>
    <sheet name="Question= 6" sheetId="8" r:id="rId6"/>
    <sheet name="Question= 7" sheetId="9" r:id="rId7"/>
    <sheet name="Question- 8" sheetId="16" r:id="rId8"/>
    <sheet name="Question= 9" sheetId="17" r:id="rId9"/>
    <sheet name="Question= 10" sheetId="18" r:id="rId10"/>
  </sheets>
  <definedNames>
    <definedName name="Slicer_Product1">#N/A</definedName>
  </definedNames>
  <calcPr calcId="191029"/>
  <pivotCaches>
    <pivotCache cacheId="6" r:id="rId11"/>
    <pivotCache cacheId="41" r:id="rId12"/>
    <pivotCache cacheId="57"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18" l="1"/>
  <c r="F8" i="18"/>
  <c r="F9" i="18"/>
  <c r="F10" i="18"/>
  <c r="F11" i="18"/>
  <c r="F12" i="18"/>
  <c r="F13" i="18"/>
  <c r="F14" i="18"/>
  <c r="F15" i="18"/>
  <c r="F16" i="18"/>
  <c r="F17" i="18"/>
  <c r="F18" i="18"/>
  <c r="F19" i="18"/>
  <c r="F20" i="18"/>
  <c r="F21" i="18"/>
  <c r="F22" i="18"/>
  <c r="F23" i="18"/>
  <c r="F24" i="18"/>
  <c r="F25" i="18"/>
  <c r="F6" i="18"/>
</calcChain>
</file>

<file path=xl/sharedStrings.xml><?xml version="1.0" encoding="utf-8"?>
<sst xmlns="http://schemas.openxmlformats.org/spreadsheetml/2006/main" count="214" uniqueCount="50">
  <si>
    <t>1. What is the purpose of a PivotTable in Excel?</t>
  </si>
  <si>
    <t>Ans:-</t>
  </si>
  <si>
    <t>A PivotTable in Excel is a tool used to summarize and analyze large amounts of data quickly and efficiently.
Purpose:
-To organize and summarize detailed data.
-To compare, group, and filter information easily.
-To help identify patterns, trends, and insights without using complex formulas.
Example:
-If you have sales data for different regions and products, a PivotTable can instantly show total sales by region or by product.</t>
  </si>
  <si>
    <t>Row Labels</t>
  </si>
  <si>
    <t>Total of Sales</t>
  </si>
  <si>
    <t>East</t>
  </si>
  <si>
    <t>North</t>
  </si>
  <si>
    <t>South</t>
  </si>
  <si>
    <t>West</t>
  </si>
  <si>
    <t>Grand Total</t>
  </si>
  <si>
    <t xml:space="preserve"> 2. Create a PivotTable to show Total Sales by Region.</t>
  </si>
  <si>
    <t>Steps to create pivot table to show total sales by region-:                                                                                                                   1. Select your data (make sure it includes Region and Sales columns).
2. Go to the Insert tab → click PivotTable.
3. In the dialog box, confirm your data range and choose where to place the PivotTable. Click OK.
4. In the PivotTable Fields pane:
-Drag Region to the Rows area.
- Drag Sales to the Values area.
5.  Excel will automatically show Total Sales by Region.
6. (Optional) Format the numbers for a clean look — right-click a value → Number Format → select Currency or Number.</t>
  </si>
  <si>
    <t>Date</t>
  </si>
  <si>
    <t>Region</t>
  </si>
  <si>
    <t>Product</t>
  </si>
  <si>
    <t>Sales</t>
  </si>
  <si>
    <t>Quantity</t>
  </si>
  <si>
    <t>Mangoes</t>
  </si>
  <si>
    <t>Oranges</t>
  </si>
  <si>
    <t>Apples</t>
  </si>
  <si>
    <t>Steps:
1. Select the Sales Data
- Click and drag to highlight the cells containing your sales values (for example, the Total Sales column in your PivotTable).
2. Open Conditional Formatting
- Go to the Home tab on the Ribbon.
- Click Conditional Formatting → Highlight Cells Rules → Greater Than…
3. Set the Rule
- In the box that appears, type 400.
- Choose a format (e.g., Light Red Fill with Dark Red Text), or click Custom Format… to choose your own style.
4. Apply the Formatting
- Click OK.</t>
  </si>
  <si>
    <t>3. Apply Conditional Formatting to highlight sales greater than 400.</t>
  </si>
  <si>
    <t xml:space="preserve"> 4.Explain the difference between Sorting and Filtering with an example from this dataset.</t>
  </si>
  <si>
    <t>Sorting Data-:
1. Select Your Data
Click anywhere inside your dataset (e.g., Region and Sales columns).
2. Open the Sort Options                                                                      Go to the Home tab → click Sort &amp; Filter (on the right side of the Ribbon).
3. Choose a Sort Order
Select Sort A to Z (ascending) or Sort Z to A (descending).
For numbers, this means smallest to largest or largest to smallest.</t>
  </si>
  <si>
    <t>Filtering Data -:
1. Select Your Data
Click anywhere inside your dataset.
2. Turn On Filters
Go to the Home tab → Sort &amp; Filter → choose Filter.
Small drop-down arrows will appear next to your column headers.
3.Apply a Filter
Click the arrow next to the column you want to filter (e.g., Sales).
Choose specific values, or use Number Filters → Greater Than…, and enter a number (e.g., 100).
4. View the Results
Excel will now display only the rows that meet your filter criteria.</t>
  </si>
  <si>
    <t>Month</t>
  </si>
  <si>
    <t>Sum of Sales</t>
  </si>
  <si>
    <t>Jan</t>
  </si>
  <si>
    <t>Feb</t>
  </si>
  <si>
    <t>Mar</t>
  </si>
  <si>
    <t>Apr</t>
  </si>
  <si>
    <t>May</t>
  </si>
  <si>
    <t>Jun</t>
  </si>
  <si>
    <t>Total Sales</t>
  </si>
  <si>
    <t>5. Create a PivotChart showing Monthly Sales Trend.</t>
  </si>
  <si>
    <t>7. Why are Dashboards important for decision-making in business analysis?</t>
  </si>
  <si>
    <t>Importance of Dashboards in Business Decision-Making -:
1.Real-Time Insights
Dashboards show up-to-date data, helping managers make quick and informed decisions.
2.Data-Driven Decisions
They replace guesswork with clear, measurable information.
3.Simplify Complex Data
Visual charts and summaries make large amounts of data easy to understand.
4.Performance Tracking
Dashboards highlight key metrics (KPIs) so teams can monitor progress and goals.
5.Better Planning
By showing trends over time, dashboards support strategic and long-term planning.
6.Improved Communication
Everyone sees the same information, promoting transparency and collaboration.</t>
  </si>
  <si>
    <t xml:space="preserve"> 8.Create a Dashboard that includes:</t>
  </si>
  <si>
    <t xml:space="preserve"> -Sales by Region (PivotTable + Chart)</t>
  </si>
  <si>
    <t xml:space="preserve">  -Product Filter (Slicer)</t>
  </si>
  <si>
    <t xml:space="preserve">  -Monthly Trend (Line Chart)</t>
  </si>
  <si>
    <t>Months</t>
  </si>
  <si>
    <t>Sales Dashboard</t>
  </si>
  <si>
    <t>9. Group dates in the PivotTable into Months and calculate the average sales per month.</t>
  </si>
  <si>
    <t>Ans :-</t>
  </si>
  <si>
    <t>1)Create a PivotTable from your sales data
- Put Date in Rows.
- Put Sales in Values.
2)Group the Dates by Month:
- Right-click any date in the PivotTable → Group… → select Months → OK.
3)Calculate Average Sales:
- Right-click the Sales values → Summarize Values By → Average.
Then, Format the numbers for clarity (Currency or Number with 2 decimals).</t>
  </si>
  <si>
    <t>Average of Sales</t>
  </si>
  <si>
    <t>10.Combine Apples and Oranges into one group called Fruits and compare its sales with other products.</t>
  </si>
  <si>
    <t>Category</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</si>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</sst>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sz val="14"/>
      <color theme="5" tint="0.39997558519241921"/>
      <name val="Calibri"/>
      <family val="2"/>
      <scheme val="minor"/>
    </font>
  </fonts>
  <fills count="3">
    <fill>
      <patternFill patternType="none"/>
    </fill>
    <fill>
      <patternFill patternType="gray125"/>
    </fill>
    <fill>
      <patternFill patternType="solid">
        <fgColor rgb="FF7030A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1">
    <xf numFmtId="0" fontId="0" fillId="0" borderId="0" xfId="0"/>
    <xf numFmtId="0" fontId="0" fillId="0" borderId="0" xfId="0" applyAlignment="1">
      <alignment horizontal="center"/>
    </xf>
    <xf numFmtId="0" fontId="1" fillId="0" borderId="0" xfId="0" applyFont="1" applyAlignment="1">
      <alignment horizontal="center"/>
    </xf>
    <xf numFmtId="0" fontId="0" fillId="0" borderId="1" xfId="0" applyBorder="1" applyAlignment="1">
      <alignment horizontal="center" vertical="top" wrapText="1"/>
    </xf>
    <xf numFmtId="0" fontId="0" fillId="0" borderId="1" xfId="0" applyBorder="1" applyAlignment="1">
      <alignment horizontal="center" vertical="top"/>
    </xf>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left"/>
    </xf>
    <xf numFmtId="164" fontId="0" fillId="0" borderId="0" xfId="0" applyNumberFormat="1"/>
    <xf numFmtId="0" fontId="0" fillId="0" borderId="0" xfId="0" pivotButton="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0" fillId="0" borderId="2" xfId="0" applyNumberFormat="1" applyBorder="1" applyAlignment="1">
      <alignment horizontal="center" vertical="center" wrapText="1"/>
    </xf>
    <xf numFmtId="0" fontId="0" fillId="0" borderId="3" xfId="0"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14" fontId="0" fillId="0" borderId="7" xfId="0" applyNumberForma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NumberFormat="1"/>
    <xf numFmtId="0" fontId="1" fillId="0" borderId="10" xfId="0" applyFont="1" applyBorder="1" applyAlignment="1">
      <alignment horizontal="left"/>
    </xf>
    <xf numFmtId="0" fontId="1" fillId="0" borderId="11" xfId="0" applyFont="1" applyBorder="1" applyAlignment="1">
      <alignment horizontal="left"/>
    </xf>
    <xf numFmtId="0" fontId="1" fillId="0" borderId="12" xfId="0" applyFont="1" applyBorder="1" applyAlignment="1">
      <alignment horizontal="left"/>
    </xf>
    <xf numFmtId="0" fontId="1" fillId="0" borderId="13" xfId="0" applyFont="1" applyBorder="1" applyAlignment="1">
      <alignment horizontal="left"/>
    </xf>
    <xf numFmtId="0" fontId="1" fillId="0" borderId="0" xfId="0" applyFont="1" applyAlignment="1">
      <alignment horizontal="left"/>
    </xf>
    <xf numFmtId="0" fontId="1" fillId="0" borderId="14" xfId="0" applyFont="1" applyBorder="1" applyAlignment="1">
      <alignment horizontal="left"/>
    </xf>
    <xf numFmtId="0" fontId="1" fillId="0" borderId="15" xfId="0" applyFont="1" applyBorder="1" applyAlignment="1">
      <alignment horizontal="left"/>
    </xf>
    <xf numFmtId="0" fontId="1" fillId="0" borderId="16" xfId="0" applyFont="1" applyBorder="1" applyAlignment="1">
      <alignment horizontal="left"/>
    </xf>
    <xf numFmtId="0" fontId="1" fillId="0" borderId="17" xfId="0" applyFont="1" applyBorder="1" applyAlignment="1">
      <alignment horizontal="left"/>
    </xf>
    <xf numFmtId="0" fontId="0" fillId="2" borderId="0" xfId="0" applyFill="1"/>
    <xf numFmtId="0" fontId="1" fillId="0" borderId="1" xfId="0" applyFont="1" applyBorder="1" applyAlignment="1"/>
    <xf numFmtId="0" fontId="2" fillId="2" borderId="0" xfId="0" applyFont="1" applyFill="1"/>
    <xf numFmtId="0" fontId="0" fillId="0" borderId="0" xfId="0" applyAlignment="1"/>
    <xf numFmtId="0" fontId="1" fillId="0" borderId="1" xfId="0" applyFont="1" applyFill="1" applyBorder="1" applyAlignment="1">
      <alignment horizontal="center" vertical="center" wrapText="1"/>
    </xf>
    <xf numFmtId="0" fontId="0" fillId="0" borderId="1" xfId="0" applyBorder="1" applyAlignment="1"/>
  </cellXfs>
  <cellStyles count="1">
    <cellStyle name="Normal" xfId="0" builtinId="0"/>
  </cellStyles>
  <dxfs count="31">
    <dxf>
      <font>
        <color rgb="FF9C0006"/>
      </font>
      <fill>
        <patternFill>
          <bgColor rgb="FFFFC7CE"/>
        </patternFill>
      </fill>
    </dxf>
    <dxf>
      <numFmt numFmtId="164" formatCode="&quot;₹&quot;\ #,##0.00"/>
    </dxf>
    <dxf>
      <numFmt numFmtId="164" formatCode="&quot;₹&quot;\ #,##0.00"/>
    </dxf>
    <dxf>
      <numFmt numFmtId="164" formatCode="&quot;₹&quot;\ #,##0.00"/>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numFmt numFmtId="164" formatCode="&quot;₹&quot;\ #,##0.00"/>
    </dxf>
    <dxf>
      <numFmt numFmtId="164" formatCode="&quot;₹&quot;\ #,##0.0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5.0.xlsx]Question= 5!PivotTable3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5'!$A$4:$A$9</c:f>
              <c:strCache>
                <c:ptCount val="5"/>
                <c:pt idx="0">
                  <c:v>Jan</c:v>
                </c:pt>
                <c:pt idx="1">
                  <c:v>Feb</c:v>
                </c:pt>
                <c:pt idx="2">
                  <c:v>Mar</c:v>
                </c:pt>
                <c:pt idx="3">
                  <c:v>Apr</c:v>
                </c:pt>
                <c:pt idx="4">
                  <c:v>May</c:v>
                </c:pt>
              </c:strCache>
            </c:strRef>
          </c:cat>
          <c:val>
            <c:numRef>
              <c:f>'Question= 5'!$B$4:$B$9</c:f>
              <c:numCache>
                <c:formatCode>"₹"\ #,##0.00</c:formatCode>
                <c:ptCount val="5"/>
                <c:pt idx="0">
                  <c:v>703</c:v>
                </c:pt>
                <c:pt idx="1">
                  <c:v>281</c:v>
                </c:pt>
                <c:pt idx="2">
                  <c:v>76</c:v>
                </c:pt>
                <c:pt idx="3">
                  <c:v>672</c:v>
                </c:pt>
                <c:pt idx="4">
                  <c:v>789</c:v>
                </c:pt>
              </c:numCache>
            </c:numRef>
          </c:val>
          <c:extLst>
            <c:ext xmlns:c16="http://schemas.microsoft.com/office/drawing/2014/chart" uri="{C3380CC4-5D6E-409C-BE32-E72D297353CC}">
              <c16:uniqueId val="{00000000-5E5A-4660-864C-30766724234E}"/>
            </c:ext>
          </c:extLst>
        </c:ser>
        <c:dLbls>
          <c:showLegendKey val="0"/>
          <c:showVal val="0"/>
          <c:showCatName val="0"/>
          <c:showSerName val="0"/>
          <c:showPercent val="0"/>
          <c:showBubbleSize val="0"/>
        </c:dLbls>
        <c:gapWidth val="150"/>
        <c:overlap val="100"/>
        <c:axId val="54511568"/>
        <c:axId val="54511984"/>
      </c:barChart>
      <c:catAx>
        <c:axId val="54511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11984"/>
        <c:crosses val="autoZero"/>
        <c:auto val="1"/>
        <c:lblAlgn val="ctr"/>
        <c:lblOffset val="100"/>
        <c:noMultiLvlLbl val="0"/>
      </c:catAx>
      <c:valAx>
        <c:axId val="545119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1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5.0.xlsx]Question= 6!PivotTable4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6'!$B$2</c:f>
              <c:strCache>
                <c:ptCount val="1"/>
                <c:pt idx="0">
                  <c:v>Total</c:v>
                </c:pt>
              </c:strCache>
            </c:strRef>
          </c:tx>
          <c:spPr>
            <a:solidFill>
              <a:schemeClr val="accent1"/>
            </a:solidFill>
            <a:ln>
              <a:noFill/>
            </a:ln>
            <a:effectLst/>
          </c:spPr>
          <c:invertIfNegative val="0"/>
          <c:cat>
            <c:strRef>
              <c:f>'Question= 6'!$A$3:$A$8</c:f>
              <c:strCache>
                <c:ptCount val="5"/>
                <c:pt idx="0">
                  <c:v>Jan</c:v>
                </c:pt>
                <c:pt idx="1">
                  <c:v>Feb</c:v>
                </c:pt>
                <c:pt idx="2">
                  <c:v>Mar</c:v>
                </c:pt>
                <c:pt idx="3">
                  <c:v>Apr</c:v>
                </c:pt>
                <c:pt idx="4">
                  <c:v>May</c:v>
                </c:pt>
              </c:strCache>
            </c:strRef>
          </c:cat>
          <c:val>
            <c:numRef>
              <c:f>'Question= 6'!$B$3:$B$8</c:f>
              <c:numCache>
                <c:formatCode>"₹"\ #,##0.00</c:formatCode>
                <c:ptCount val="5"/>
                <c:pt idx="0">
                  <c:v>703</c:v>
                </c:pt>
                <c:pt idx="1">
                  <c:v>281</c:v>
                </c:pt>
                <c:pt idx="2">
                  <c:v>76</c:v>
                </c:pt>
                <c:pt idx="3">
                  <c:v>672</c:v>
                </c:pt>
                <c:pt idx="4">
                  <c:v>789</c:v>
                </c:pt>
              </c:numCache>
            </c:numRef>
          </c:val>
          <c:extLst>
            <c:ext xmlns:c16="http://schemas.microsoft.com/office/drawing/2014/chart" uri="{C3380CC4-5D6E-409C-BE32-E72D297353CC}">
              <c16:uniqueId val="{00000000-DEE8-423A-9EC9-D01AD3B06815}"/>
            </c:ext>
          </c:extLst>
        </c:ser>
        <c:dLbls>
          <c:showLegendKey val="0"/>
          <c:showVal val="0"/>
          <c:showCatName val="0"/>
          <c:showSerName val="0"/>
          <c:showPercent val="0"/>
          <c:showBubbleSize val="0"/>
        </c:dLbls>
        <c:gapWidth val="219"/>
        <c:overlap val="-27"/>
        <c:axId val="330816576"/>
        <c:axId val="330807424"/>
      </c:barChart>
      <c:catAx>
        <c:axId val="33081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07424"/>
        <c:crosses val="autoZero"/>
        <c:auto val="1"/>
        <c:lblAlgn val="ctr"/>
        <c:lblOffset val="100"/>
        <c:noMultiLvlLbl val="0"/>
      </c:catAx>
      <c:valAx>
        <c:axId val="33080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1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5.0.xlsx]Question- 8!PivotTable18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'Question- 8'!$B$17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'Question- 8'!$A$18:$A$21</c:f>
              <c:strCache>
                <c:ptCount val="3"/>
                <c:pt idx="0">
                  <c:v>East</c:v>
                </c:pt>
                <c:pt idx="1">
                  <c:v>South</c:v>
                </c:pt>
                <c:pt idx="2">
                  <c:v>West</c:v>
                </c:pt>
              </c:strCache>
            </c:strRef>
          </c:cat>
          <c:val>
            <c:numRef>
              <c:f>'Question- 8'!$B$18:$B$21</c:f>
              <c:numCache>
                <c:formatCode>General</c:formatCode>
                <c:ptCount val="3"/>
                <c:pt idx="0">
                  <c:v>467</c:v>
                </c:pt>
                <c:pt idx="1">
                  <c:v>937</c:v>
                </c:pt>
                <c:pt idx="2">
                  <c:v>1117</c:v>
                </c:pt>
              </c:numCache>
            </c:numRef>
          </c:val>
          <c:extLst>
            <c:ext xmlns:c16="http://schemas.microsoft.com/office/drawing/2014/chart" uri="{C3380CC4-5D6E-409C-BE32-E72D297353CC}">
              <c16:uniqueId val="{00000000-643F-4910-BFCC-EB48DD505754}"/>
            </c:ext>
          </c:extLst>
        </c:ser>
        <c:dLbls>
          <c:dLblPos val="inEnd"/>
          <c:showLegendKey val="0"/>
          <c:showVal val="1"/>
          <c:showCatName val="0"/>
          <c:showSerName val="0"/>
          <c:showPercent val="0"/>
          <c:showBubbleSize val="0"/>
        </c:dLbls>
        <c:gapWidth val="65"/>
        <c:axId val="360737312"/>
        <c:axId val="360738144"/>
      </c:barChart>
      <c:catAx>
        <c:axId val="360737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0738144"/>
        <c:crosses val="autoZero"/>
        <c:auto val="1"/>
        <c:lblAlgn val="ctr"/>
        <c:lblOffset val="100"/>
        <c:noMultiLvlLbl val="0"/>
      </c:catAx>
      <c:valAx>
        <c:axId val="360738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607373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5.0.xlsx]Question- 8!PivotTable16</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'Question- 8'!$B$7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'Question- 8'!$A$8:$A$13</c:f>
              <c:strCache>
                <c:ptCount val="5"/>
                <c:pt idx="0">
                  <c:v>Jan</c:v>
                </c:pt>
                <c:pt idx="1">
                  <c:v>Feb</c:v>
                </c:pt>
                <c:pt idx="2">
                  <c:v>Mar</c:v>
                </c:pt>
                <c:pt idx="3">
                  <c:v>Apr</c:v>
                </c:pt>
                <c:pt idx="4">
                  <c:v>May</c:v>
                </c:pt>
              </c:strCache>
            </c:strRef>
          </c:cat>
          <c:val>
            <c:numRef>
              <c:f>'Question- 8'!$B$8:$B$13</c:f>
              <c:numCache>
                <c:formatCode>"₹"\ #,##0.00</c:formatCode>
                <c:ptCount val="5"/>
                <c:pt idx="0">
                  <c:v>703</c:v>
                </c:pt>
                <c:pt idx="1">
                  <c:v>281</c:v>
                </c:pt>
                <c:pt idx="2">
                  <c:v>76</c:v>
                </c:pt>
                <c:pt idx="3">
                  <c:v>672</c:v>
                </c:pt>
                <c:pt idx="4">
                  <c:v>789</c:v>
                </c:pt>
              </c:numCache>
            </c:numRef>
          </c:val>
          <c:smooth val="0"/>
          <c:extLst>
            <c:ext xmlns:c16="http://schemas.microsoft.com/office/drawing/2014/chart" uri="{C3380CC4-5D6E-409C-BE32-E72D297353CC}">
              <c16:uniqueId val="{00000000-15CC-48C7-8EFE-E6BD1FBFFB50}"/>
            </c:ext>
          </c:extLst>
        </c:ser>
        <c:dLbls>
          <c:showLegendKey val="0"/>
          <c:showVal val="0"/>
          <c:showCatName val="0"/>
          <c:showSerName val="0"/>
          <c:showPercent val="0"/>
          <c:showBubbleSize val="0"/>
        </c:dLbls>
        <c:marker val="1"/>
        <c:smooth val="0"/>
        <c:axId val="318030464"/>
        <c:axId val="318026720"/>
      </c:lineChart>
      <c:catAx>
        <c:axId val="3180304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026720"/>
        <c:crosses val="autoZero"/>
        <c:auto val="1"/>
        <c:lblAlgn val="ctr"/>
        <c:lblOffset val="100"/>
        <c:noMultiLvlLbl val="0"/>
      </c:catAx>
      <c:valAx>
        <c:axId val="31802672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03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19050</xdr:colOff>
      <xdr:row>3</xdr:row>
      <xdr:rowOff>19050</xdr:rowOff>
    </xdr:from>
    <xdr:to>
      <xdr:col>8</xdr:col>
      <xdr:colOff>0</xdr:colOff>
      <xdr:row>19</xdr:row>
      <xdr:rowOff>0</xdr:rowOff>
    </xdr:to>
    <xdr:graphicFrame macro="">
      <xdr:nvGraphicFramePr>
        <xdr:cNvPr id="3" name="Chart 2">
          <a:extLst>
            <a:ext uri="{FF2B5EF4-FFF2-40B4-BE49-F238E27FC236}">
              <a16:creationId xmlns:a16="http://schemas.microsoft.com/office/drawing/2014/main" id="{74D0C44A-0BAD-4698-8F14-31E69E257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14287</xdr:rowOff>
    </xdr:from>
    <xdr:to>
      <xdr:col>22</xdr:col>
      <xdr:colOff>9525</xdr:colOff>
      <xdr:row>20</xdr:row>
      <xdr:rowOff>9525</xdr:rowOff>
    </xdr:to>
    <xdr:graphicFrame macro="">
      <xdr:nvGraphicFramePr>
        <xdr:cNvPr id="3" name="Chart 2">
          <a:extLst>
            <a:ext uri="{FF2B5EF4-FFF2-40B4-BE49-F238E27FC236}">
              <a16:creationId xmlns:a16="http://schemas.microsoft.com/office/drawing/2014/main" id="{A9E51D76-F270-4AEA-BA6E-2C6C2614F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590550</xdr:colOff>
      <xdr:row>3</xdr:row>
      <xdr:rowOff>28575</xdr:rowOff>
    </xdr:from>
    <xdr:to>
      <xdr:col>24</xdr:col>
      <xdr:colOff>590550</xdr:colOff>
      <xdr:row>16</xdr:row>
      <xdr:rowOff>76200</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CCE01CE6-1512-45E5-BB6B-3B5459CD07A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934325" y="600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6</xdr:row>
      <xdr:rowOff>0</xdr:rowOff>
    </xdr:from>
    <xdr:to>
      <xdr:col>9</xdr:col>
      <xdr:colOff>400050</xdr:colOff>
      <xdr:row>22</xdr:row>
      <xdr:rowOff>0</xdr:rowOff>
    </xdr:to>
    <xdr:graphicFrame macro="">
      <xdr:nvGraphicFramePr>
        <xdr:cNvPr id="3" name="Chart 2">
          <a:extLst>
            <a:ext uri="{FF2B5EF4-FFF2-40B4-BE49-F238E27FC236}">
              <a16:creationId xmlns:a16="http://schemas.microsoft.com/office/drawing/2014/main" id="{A1E27575-5600-4ED5-9C54-91A251052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419100</xdr:colOff>
      <xdr:row>6</xdr:row>
      <xdr:rowOff>23811</xdr:rowOff>
    </xdr:from>
    <xdr:to>
      <xdr:col>15</xdr:col>
      <xdr:colOff>590550</xdr:colOff>
      <xdr:row>21</xdr:row>
      <xdr:rowOff>180974</xdr:rowOff>
    </xdr:to>
    <xdr:graphicFrame macro="">
      <xdr:nvGraphicFramePr>
        <xdr:cNvPr id="4" name="Chart 3">
          <a:extLst>
            <a:ext uri="{FF2B5EF4-FFF2-40B4-BE49-F238E27FC236}">
              <a16:creationId xmlns:a16="http://schemas.microsoft.com/office/drawing/2014/main" id="{2216147A-5437-4E79-BDDE-F6F4CC892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19050</xdr:colOff>
      <xdr:row>9</xdr:row>
      <xdr:rowOff>28576</xdr:rowOff>
    </xdr:from>
    <xdr:to>
      <xdr:col>19</xdr:col>
      <xdr:colOff>190500</xdr:colOff>
      <xdr:row>15</xdr:row>
      <xdr:rowOff>180976</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EEBCC601-A7F7-450B-9A6F-B7A78ABCBDE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001250" y="1809751"/>
              <a:ext cx="200025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15</xdr:col>
      <xdr:colOff>246959</xdr:colOff>
      <xdr:row>15</xdr:row>
      <xdr:rowOff>28429</xdr:rowOff>
    </xdr:to>
    <xdr:pic>
      <xdr:nvPicPr>
        <xdr:cNvPr id="2" name="Picture 1">
          <a:extLst>
            <a:ext uri="{FF2B5EF4-FFF2-40B4-BE49-F238E27FC236}">
              <a16:creationId xmlns:a16="http://schemas.microsoft.com/office/drawing/2014/main" id="{AA4732ED-3E09-4F9F-B548-2F65951CA9FC}"/>
            </a:ext>
          </a:extLst>
        </xdr:cNvPr>
        <xdr:cNvPicPr>
          <a:picLocks noChangeAspect="1"/>
        </xdr:cNvPicPr>
      </xdr:nvPicPr>
      <xdr:blipFill>
        <a:blip xmlns:r="http://schemas.openxmlformats.org/officeDocument/2006/relationships" r:embed="rId1"/>
        <a:stretch>
          <a:fillRect/>
        </a:stretch>
      </xdr:blipFill>
      <xdr:spPr>
        <a:xfrm>
          <a:off x="5076825" y="1714500"/>
          <a:ext cx="5523809" cy="11714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3"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2"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6.067198032404" createdVersion="7" refreshedVersion="7" minRefreshableVersion="3" recordCount="20" xr:uid="{6AEF4171-8BD9-4FB1-AA23-70643FEE791A}">
  <cacheSource type="worksheet">
    <worksheetSource ref="A1:E21" sheet="Sheet1" r:id="rId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6.086916666667" createdVersion="7" refreshedVersion="7" minRefreshableVersion="3" recordCount="20" xr:uid="{587E26F4-2C54-44A6-9D0F-A1B9B4E3EC61}">
  <cacheSource type="worksheet">
    <worksheetSource ref="A3:E23" sheet="Question=5" r:id="rId2"/>
  </cacheSource>
  <cacheFields count="6">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97370661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6.157790972225" createdVersion="7" refreshedVersion="7" minRefreshableVersion="3" recordCount="20" xr:uid="{69D88A37-1D84-4F77-A167-C69E19307320}">
  <cacheSource type="worksheet">
    <worksheetSource ref="A5:F25" sheet="Question= 10"/>
  </cacheSource>
  <cacheFields count="6">
    <cacheField name="Date" numFmtId="14">
      <sharedItems containsSemiMixedTypes="0" containsNonDate="0" containsDate="1" containsString="0" minDate="2024-01-01T00:00:00" maxDate="2024-07-01T00:00:00"/>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Category" numFmtId="0">
      <sharedItems count="2">
        <s v="Mangoes"/>
        <s v="Fruit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s v="Mangoes"/>
    <n v="456"/>
    <n v="93"/>
    <x v="0"/>
  </r>
  <r>
    <d v="2024-01-10T12:37:54"/>
    <s v="South"/>
    <s v="Oranges"/>
    <n v="348"/>
    <n v="56"/>
    <x v="1"/>
  </r>
  <r>
    <d v="2024-01-20T01:15:47"/>
    <s v="South"/>
    <s v="Mangoes"/>
    <n v="247"/>
    <n v="76"/>
    <x v="0"/>
  </r>
  <r>
    <d v="2024-01-29T13:53:41"/>
    <s v="West"/>
    <s v="Apples"/>
    <n v="230"/>
    <n v="37"/>
    <x v="1"/>
  </r>
  <r>
    <d v="2024-02-08T02:31:35"/>
    <s v="West"/>
    <s v="Mangoes"/>
    <n v="281"/>
    <n v="50"/>
    <x v="0"/>
  </r>
  <r>
    <d v="2024-02-17T15:09:28"/>
    <s v="West"/>
    <s v="Oranges"/>
    <n v="334"/>
    <n v="52"/>
    <x v="1"/>
  </r>
  <r>
    <d v="2024-02-27T03:47:22"/>
    <s v="South"/>
    <s v="Apples"/>
    <n v="417"/>
    <n v="29"/>
    <x v="1"/>
  </r>
  <r>
    <d v="2024-03-07T16:25:16"/>
    <s v="West"/>
    <s v="Apples"/>
    <n v="441"/>
    <n v="44"/>
    <x v="1"/>
  </r>
  <r>
    <d v="2024-03-17T05:03:09"/>
    <s v="South"/>
    <s v="Mangoes"/>
    <n v="76"/>
    <n v="63"/>
    <x v="0"/>
  </r>
  <r>
    <d v="2024-03-26T17:41:03"/>
    <s v="West"/>
    <s v="Oranges"/>
    <n v="441"/>
    <n v="79"/>
    <x v="1"/>
  </r>
  <r>
    <d v="2024-04-05T06:18:57"/>
    <s v="South"/>
    <s v="Mangoes"/>
    <n v="205"/>
    <n v="23"/>
    <x v="0"/>
  </r>
  <r>
    <d v="2024-04-14T18:56:51"/>
    <s v="West"/>
    <s v="Oranges"/>
    <n v="483"/>
    <n v="97"/>
    <x v="1"/>
  </r>
  <r>
    <d v="2024-04-24T07:34:44"/>
    <s v="East"/>
    <s v="Mangoes"/>
    <n v="467"/>
    <n v="97"/>
    <x v="0"/>
  </r>
  <r>
    <d v="2024-05-03T20:12:38"/>
    <s v="West"/>
    <s v="Mangoes"/>
    <n v="380"/>
    <n v="92"/>
    <x v="0"/>
  </r>
  <r>
    <d v="2024-05-13T08:50:32"/>
    <s v="South"/>
    <s v="Oranges"/>
    <n v="497"/>
    <n v="71"/>
    <x v="1"/>
  </r>
  <r>
    <d v="2024-05-22T21:28:25"/>
    <s v="South"/>
    <s v="Mangoes"/>
    <n v="409"/>
    <n v="81"/>
    <x v="0"/>
  </r>
  <r>
    <d v="2024-06-01T10:06:19"/>
    <s v="West"/>
    <s v="Oranges"/>
    <n v="53"/>
    <n v="45"/>
    <x v="1"/>
  </r>
  <r>
    <d v="2024-06-10T22:44:13"/>
    <s v="West"/>
    <s v="Apples"/>
    <n v="398"/>
    <n v="33"/>
    <x v="1"/>
  </r>
  <r>
    <d v="2024-06-20T11:22:06"/>
    <s v="North"/>
    <s v="Oranges"/>
    <n v="347"/>
    <n v="35"/>
    <x v="1"/>
  </r>
  <r>
    <d v="2024-06-30T00:00:00"/>
    <s v="South"/>
    <s v="Apples"/>
    <n v="319"/>
    <n v="4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8C02A5-BBFA-4955-94C4-48472B0AD4D5}"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Total of Sales" fld="3" baseField="1" baseItem="0" numFmtId="164"/>
  </dataFields>
  <formats count="7">
    <format dxfId="30">
      <pivotArea outline="0" collapsedLevelsAreSubtotals="1" fieldPosition="0"/>
    </format>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92850E-B7F5-4A7B-974E-8F6C02BA89C8}" name="PivotTable3"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Month">
  <location ref="A3:B9" firstHeaderRow="1" firstDataRow="1" firstDataCol="1"/>
  <pivotFields count="6">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h="1" x="2"/>
        <item x="0"/>
        <item h="1"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5"/>
    <field x="0"/>
  </rowFields>
  <rowItems count="6">
    <i>
      <x v="1"/>
    </i>
    <i>
      <x v="2"/>
    </i>
    <i>
      <x v="3"/>
    </i>
    <i>
      <x v="4"/>
    </i>
    <i>
      <x v="5"/>
    </i>
    <i t="grand">
      <x/>
    </i>
  </rowItems>
  <colItems count="1">
    <i/>
  </colItems>
  <dataFields count="1">
    <dataField name="Total Sales" fld="3" baseField="5" baseItem="1" numFmtId="164"/>
  </dataFields>
  <formats count="2">
    <format dxfId="13">
      <pivotArea outline="0" collapsedLevelsAreSubtotals="1" fieldPosition="0"/>
    </format>
    <format dxfId="12">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2E79C-3AD0-4A25-994D-AA37A76701FA}" name="PivotTable4"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2:B8" firstHeaderRow="1" firstDataRow="1" firstDataCol="1"/>
  <pivotFields count="6">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h="1" x="2"/>
        <item x="0"/>
        <item h="1" x="1"/>
        <item t="default"/>
      </items>
    </pivotField>
    <pivotField dataField="1" showAll="0">
      <items count="20">
        <item x="15"/>
        <item h="1" x="8"/>
        <item h="1" x="9"/>
        <item h="1" x="3"/>
        <item h="1" x="2"/>
        <item h="1" x="4"/>
        <item h="1" x="18"/>
        <item h="1" x="5"/>
        <item h="1" x="17"/>
        <item h="1" x="1"/>
        <item h="1" x="12"/>
        <item h="1" x="16"/>
        <item h="1" x="14"/>
        <item h="1" x="6"/>
        <item h="1" x="7"/>
        <item h="1" x="0"/>
        <item h="1" x="11"/>
        <item h="1" x="10"/>
        <item h="1" x="13"/>
        <item t="default"/>
      </items>
    </pivotField>
    <pivotField showAll="0"/>
    <pivotField axis="axisRow" showAll="0" sortType="ascending" defaultSubtotal="0">
      <items count="14">
        <item sd="0" x="1"/>
        <item sd="0" x="2"/>
        <item sd="0" x="3"/>
        <item sd="0" x="4"/>
        <item sd="0" x="5"/>
        <item sd="0" x="6"/>
        <item sd="0" x="7"/>
        <item sd="0" x="8"/>
        <item sd="0" x="9"/>
        <item sd="0" x="10"/>
        <item sd="0" x="11"/>
        <item sd="0" x="12"/>
        <item sd="0" x="0"/>
        <item sd="0" x="13"/>
      </items>
    </pivotField>
  </pivotFields>
  <rowFields count="1">
    <field x="5"/>
  </rowFields>
  <rowItems count="6">
    <i>
      <x/>
    </i>
    <i>
      <x v="1"/>
    </i>
    <i>
      <x v="2"/>
    </i>
    <i>
      <x v="3"/>
    </i>
    <i>
      <x v="4"/>
    </i>
    <i t="grand">
      <x/>
    </i>
  </rowItems>
  <colItems count="1">
    <i/>
  </colItems>
  <dataFields count="1">
    <dataField name="Total Sales" fld="3" baseField="5" baseItem="1" numFmtId="164"/>
  </dataFields>
  <formats count="6">
    <format dxfId="11">
      <pivotArea outline="0" collapsedLevelsAreSubtotals="1" fieldPosition="0"/>
    </format>
    <format dxfId="10">
      <pivotArea dataOnly="0" labelOnly="1" outline="0" axis="axisValues" fieldPosition="0"/>
    </format>
    <format dxfId="9">
      <pivotArea collapsedLevelsAreSubtotals="1" fieldPosition="0">
        <references count="1">
          <reference field="5" count="6">
            <x v="0"/>
            <x v="1"/>
            <x v="2"/>
            <x v="3"/>
            <x v="4"/>
            <x v="5"/>
          </reference>
        </references>
      </pivotArea>
    </format>
    <format dxfId="8">
      <pivotArea field="5" type="button" dataOnly="0" labelOnly="1" outline="0" axis="axisRow" fieldPosition="0"/>
    </format>
    <format dxfId="7">
      <pivotArea dataOnly="0" labelOnly="1" fieldPosition="0">
        <references count="1">
          <reference field="5" count="6">
            <x v="0"/>
            <x v="1"/>
            <x v="2"/>
            <x v="3"/>
            <x v="4"/>
            <x v="5"/>
          </reference>
        </references>
      </pivotArea>
    </format>
    <format dxfId="6">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E8FC5-8FC2-4DB1-B72B-B5E45AA849DE}" name="PivotTable18"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Region">
  <location ref="A17:B21" firstHeaderRow="1" firstDataRow="1" firstDataCol="1"/>
  <pivotFields count="6">
    <pivotField numFmtId="14" showAll="0"/>
    <pivotField axis="axisRow" showAll="0">
      <items count="5">
        <item x="2"/>
        <item x="3"/>
        <item x="1"/>
        <item x="0"/>
        <item t="default"/>
      </items>
    </pivotField>
    <pivotField showAll="0">
      <items count="4">
        <item h="1" x="2"/>
        <item x="0"/>
        <item h="1" x="1"/>
        <item t="default"/>
      </items>
    </pivotField>
    <pivotField dataField="1" showAll="0"/>
    <pivotField showAll="0"/>
    <pivotField showAll="0" defaultSubtotal="0"/>
  </pivotFields>
  <rowFields count="1">
    <field x="1"/>
  </rowFields>
  <rowItems count="4">
    <i>
      <x/>
    </i>
    <i>
      <x v="2"/>
    </i>
    <i>
      <x v="3"/>
    </i>
    <i t="grand">
      <x/>
    </i>
  </rowItems>
  <colItems count="1">
    <i/>
  </colItems>
  <dataFields count="1">
    <dataField name="Total Sales" fld="3"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0835EA-4709-4713-9BE0-850676325185}" name="PivotTable16"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Months">
  <location ref="A7:B13" firstHeaderRow="1" firstDataRow="1" firstDataCol="1"/>
  <pivotFields count="6">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h="1" x="2"/>
        <item x="0"/>
        <item h="1"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5"/>
    <field x="0"/>
  </rowFields>
  <rowItems count="6">
    <i>
      <x v="1"/>
    </i>
    <i>
      <x v="2"/>
    </i>
    <i>
      <x v="3"/>
    </i>
    <i>
      <x v="4"/>
    </i>
    <i>
      <x v="5"/>
    </i>
    <i t="grand">
      <x/>
    </i>
  </rowItems>
  <colItems count="1">
    <i/>
  </colItems>
  <dataFields count="1">
    <dataField name="Total Sales" fld="3" baseField="5" baseItem="1" numFmtId="164"/>
  </dataFields>
  <formats count="1">
    <format dxfId="5">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375DAC-F13C-4B71-9C29-A67A1BDC942A}" name="PivotTable19"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s">
  <location ref="A3:B10" firstHeaderRow="1" firstDataRow="1" firstDataCol="1"/>
  <pivotFields count="6">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5"/>
    <field x="0"/>
  </rowFields>
  <rowItems count="7">
    <i>
      <x v="1"/>
    </i>
    <i>
      <x v="2"/>
    </i>
    <i>
      <x v="3"/>
    </i>
    <i>
      <x v="4"/>
    </i>
    <i>
      <x v="5"/>
    </i>
    <i>
      <x v="6"/>
    </i>
    <i t="grand">
      <x/>
    </i>
  </rowItems>
  <colItems count="1">
    <i/>
  </colItems>
  <dataFields count="1">
    <dataField name="Average of Sales" fld="3" subtotal="average" baseField="5" baseItem="1" numFmtId="164"/>
  </dataFields>
  <formats count="2">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F700E3-B07F-4DA4-BF88-58EC77D3A625}" name="PivotTable24"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5:I8" firstHeaderRow="1" firstDataRow="1" firstDataCol="1"/>
  <pivotFields count="6">
    <pivotField numFmtId="14" showAll="0"/>
    <pivotField showAll="0"/>
    <pivotField showAll="0"/>
    <pivotField dataField="1" showAll="0"/>
    <pivotField showAll="0"/>
    <pivotField axis="axisRow" showAll="0">
      <items count="3">
        <item x="1"/>
        <item x="0"/>
        <item t="default"/>
      </items>
    </pivotField>
  </pivotFields>
  <rowFields count="1">
    <field x="5"/>
  </rowFields>
  <rowItems count="3">
    <i>
      <x/>
    </i>
    <i>
      <x v="1"/>
    </i>
    <i t="grand">
      <x/>
    </i>
  </rowItems>
  <colItems count="1">
    <i/>
  </colItems>
  <dataFields count="1">
    <dataField name="Sum of Sales" fld="3" baseField="0" baseItem="0" numFmtId="164"/>
  </dataFields>
  <formats count="2">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D783BF1-9599-4BC3-9527-FA5BBE14EFA2}" sourceName="Product">
  <pivotTables>
    <pivotTable tabId="16" name="PivotTable18"/>
    <pivotTable tabId="7" name="PivotTable3"/>
    <pivotTable tabId="8" name="PivotTable4"/>
    <pivotTable tabId="16" name="PivotTable16"/>
  </pivotTables>
  <data>
    <tabular pivotCacheId="1973706618">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7B24190-FCEA-43DE-ADBA-FD1AB64F98B7}"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9236A21-19A7-4176-8147-EF607FD47754}"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9E1D6C-0040-45EF-BB02-F48C9F606F5C}" name="Table1" displayName="Table1" ref="B2:F22" totalsRowShown="0" headerRowDxfId="14" dataDxfId="15" headerRowBorderDxfId="22" tableBorderDxfId="23" totalsRowBorderDxfId="21">
  <autoFilter ref="B2:F22" xr:uid="{4C9E1D6C-0040-45EF-BB02-F48C9F606F5C}"/>
  <tableColumns count="5">
    <tableColumn id="1" xr3:uid="{678C4739-9671-4586-8EF1-F787AAB71BE1}" name="Date" dataDxfId="20"/>
    <tableColumn id="2" xr3:uid="{2A0797E3-BAF4-4AD1-800F-1F1584C35A03}" name="Region" dataDxfId="19"/>
    <tableColumn id="3" xr3:uid="{22B44153-D306-4720-9D38-D21BCADC5809}" name="Product" dataDxfId="18"/>
    <tableColumn id="4" xr3:uid="{626D6D14-C584-4B53-830B-A044B032F10C}" name="Sales" dataDxfId="17"/>
    <tableColumn id="5" xr3:uid="{4AB0E73E-8544-44CA-802B-F5B157820803}" name="Quantity"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AB28-337D-4495-98A9-06320D51AC87}">
  <dimension ref="B2:M12"/>
  <sheetViews>
    <sheetView workbookViewId="0">
      <selection activeCell="O13" sqref="O13"/>
    </sheetView>
  </sheetViews>
  <sheetFormatPr defaultRowHeight="15" x14ac:dyDescent="0.25"/>
  <sheetData>
    <row r="2" spans="2:13" x14ac:dyDescent="0.25">
      <c r="B2" s="5" t="s">
        <v>0</v>
      </c>
      <c r="C2" s="6"/>
      <c r="D2" s="6"/>
      <c r="E2" s="6"/>
      <c r="F2" s="6"/>
    </row>
    <row r="4" spans="2:13" x14ac:dyDescent="0.25">
      <c r="B4" t="s">
        <v>1</v>
      </c>
      <c r="C4" s="3" t="s">
        <v>2</v>
      </c>
      <c r="D4" s="4"/>
      <c r="E4" s="4"/>
      <c r="F4" s="4"/>
      <c r="G4" s="4"/>
      <c r="H4" s="4"/>
      <c r="I4" s="4"/>
      <c r="J4" s="4"/>
      <c r="K4" s="4"/>
      <c r="L4" s="4"/>
      <c r="M4" s="4"/>
    </row>
    <row r="5" spans="2:13" x14ac:dyDescent="0.25">
      <c r="C5" s="4"/>
      <c r="D5" s="4"/>
      <c r="E5" s="4"/>
      <c r="F5" s="4"/>
      <c r="G5" s="4"/>
      <c r="H5" s="4"/>
      <c r="I5" s="4"/>
      <c r="J5" s="4"/>
      <c r="K5" s="4"/>
      <c r="L5" s="4"/>
      <c r="M5" s="4"/>
    </row>
    <row r="6" spans="2:13" x14ac:dyDescent="0.25">
      <c r="C6" s="4"/>
      <c r="D6" s="4"/>
      <c r="E6" s="4"/>
      <c r="F6" s="4"/>
      <c r="G6" s="4"/>
      <c r="H6" s="4"/>
      <c r="I6" s="4"/>
      <c r="J6" s="4"/>
      <c r="K6" s="4"/>
      <c r="L6" s="4"/>
      <c r="M6" s="4"/>
    </row>
    <row r="7" spans="2:13" x14ac:dyDescent="0.25">
      <c r="C7" s="4"/>
      <c r="D7" s="4"/>
      <c r="E7" s="4"/>
      <c r="F7" s="4"/>
      <c r="G7" s="4"/>
      <c r="H7" s="4"/>
      <c r="I7" s="4"/>
      <c r="J7" s="4"/>
      <c r="K7" s="4"/>
      <c r="L7" s="4"/>
      <c r="M7" s="4"/>
    </row>
    <row r="8" spans="2:13" x14ac:dyDescent="0.25">
      <c r="C8" s="4"/>
      <c r="D8" s="4"/>
      <c r="E8" s="4"/>
      <c r="F8" s="4"/>
      <c r="G8" s="4"/>
      <c r="H8" s="4"/>
      <c r="I8" s="4"/>
      <c r="J8" s="4"/>
      <c r="K8" s="4"/>
      <c r="L8" s="4"/>
      <c r="M8" s="4"/>
    </row>
    <row r="9" spans="2:13" x14ac:dyDescent="0.25">
      <c r="C9" s="4"/>
      <c r="D9" s="4"/>
      <c r="E9" s="4"/>
      <c r="F9" s="4"/>
      <c r="G9" s="4"/>
      <c r="H9" s="4"/>
      <c r="I9" s="4"/>
      <c r="J9" s="4"/>
      <c r="K9" s="4"/>
      <c r="L9" s="4"/>
      <c r="M9" s="4"/>
    </row>
    <row r="10" spans="2:13" x14ac:dyDescent="0.25">
      <c r="C10" s="4"/>
      <c r="D10" s="4"/>
      <c r="E10" s="4"/>
      <c r="F10" s="4"/>
      <c r="G10" s="4"/>
      <c r="H10" s="4"/>
      <c r="I10" s="4"/>
      <c r="J10" s="4"/>
      <c r="K10" s="4"/>
      <c r="L10" s="4"/>
      <c r="M10" s="4"/>
    </row>
    <row r="11" spans="2:13" x14ac:dyDescent="0.25">
      <c r="C11" s="4"/>
      <c r="D11" s="4"/>
      <c r="E11" s="4"/>
      <c r="F11" s="4"/>
      <c r="G11" s="4"/>
      <c r="H11" s="4"/>
      <c r="I11" s="4"/>
      <c r="J11" s="4"/>
      <c r="K11" s="4"/>
      <c r="L11" s="4"/>
      <c r="M11" s="4"/>
    </row>
    <row r="12" spans="2:13" x14ac:dyDescent="0.25">
      <c r="C12" s="4"/>
      <c r="D12" s="4"/>
      <c r="E12" s="4"/>
      <c r="F12" s="4"/>
      <c r="G12" s="4"/>
      <c r="H12" s="4"/>
      <c r="I12" s="4"/>
      <c r="J12" s="4"/>
      <c r="K12" s="4"/>
      <c r="L12" s="4"/>
      <c r="M12" s="4"/>
    </row>
  </sheetData>
  <mergeCells count="2">
    <mergeCell ref="B2:F2"/>
    <mergeCell ref="C4:M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CDEC-ACDC-4DBB-83B4-C16C929131A0}">
  <dimension ref="A3:L16"/>
  <sheetViews>
    <sheetView workbookViewId="0">
      <selection activeCell="F20" sqref="F20"/>
    </sheetView>
  </sheetViews>
  <sheetFormatPr defaultRowHeight="15" x14ac:dyDescent="0.25"/>
  <cols>
    <col min="1" max="1" width="13.42578125" customWidth="1"/>
    <col min="2" max="2" width="12.5703125" customWidth="1"/>
  </cols>
  <sheetData>
    <row r="3" spans="1:12" x14ac:dyDescent="0.25">
      <c r="A3" s="10" t="s">
        <v>3</v>
      </c>
      <c r="B3" s="11" t="s">
        <v>4</v>
      </c>
      <c r="D3" s="5" t="s">
        <v>10</v>
      </c>
      <c r="E3" s="6"/>
      <c r="F3" s="6"/>
      <c r="G3" s="6"/>
      <c r="H3" s="6"/>
      <c r="I3" s="6"/>
    </row>
    <row r="4" spans="1:12" x14ac:dyDescent="0.25">
      <c r="A4" s="12" t="s">
        <v>5</v>
      </c>
      <c r="B4" s="13">
        <v>467</v>
      </c>
    </row>
    <row r="5" spans="1:12" x14ac:dyDescent="0.25">
      <c r="A5" s="12" t="s">
        <v>6</v>
      </c>
      <c r="B5" s="13">
        <v>347</v>
      </c>
      <c r="D5" s="11" t="s">
        <v>1</v>
      </c>
      <c r="E5" s="3" t="s">
        <v>11</v>
      </c>
      <c r="F5" s="4"/>
      <c r="G5" s="4"/>
      <c r="H5" s="4"/>
      <c r="I5" s="4"/>
      <c r="J5" s="4"/>
      <c r="K5" s="4"/>
      <c r="L5" s="4"/>
    </row>
    <row r="6" spans="1:12" x14ac:dyDescent="0.25">
      <c r="A6" s="12" t="s">
        <v>7</v>
      </c>
      <c r="B6" s="13">
        <v>2518</v>
      </c>
      <c r="E6" s="4"/>
      <c r="F6" s="4"/>
      <c r="G6" s="4"/>
      <c r="H6" s="4"/>
      <c r="I6" s="4"/>
      <c r="J6" s="4"/>
      <c r="K6" s="4"/>
      <c r="L6" s="4"/>
    </row>
    <row r="7" spans="1:12" x14ac:dyDescent="0.25">
      <c r="A7" s="12" t="s">
        <v>8</v>
      </c>
      <c r="B7" s="13">
        <v>3497</v>
      </c>
      <c r="E7" s="4"/>
      <c r="F7" s="4"/>
      <c r="G7" s="4"/>
      <c r="H7" s="4"/>
      <c r="I7" s="4"/>
      <c r="J7" s="4"/>
      <c r="K7" s="4"/>
      <c r="L7" s="4"/>
    </row>
    <row r="8" spans="1:12" x14ac:dyDescent="0.25">
      <c r="A8" s="12" t="s">
        <v>9</v>
      </c>
      <c r="B8" s="13">
        <v>6829</v>
      </c>
      <c r="E8" s="4"/>
      <c r="F8" s="4"/>
      <c r="G8" s="4"/>
      <c r="H8" s="4"/>
      <c r="I8" s="4"/>
      <c r="J8" s="4"/>
      <c r="K8" s="4"/>
      <c r="L8" s="4"/>
    </row>
    <row r="9" spans="1:12" x14ac:dyDescent="0.25">
      <c r="E9" s="4"/>
      <c r="F9" s="4"/>
      <c r="G9" s="4"/>
      <c r="H9" s="4"/>
      <c r="I9" s="4"/>
      <c r="J9" s="4"/>
      <c r="K9" s="4"/>
      <c r="L9" s="4"/>
    </row>
    <row r="10" spans="1:12" x14ac:dyDescent="0.25">
      <c r="E10" s="4"/>
      <c r="F10" s="4"/>
      <c r="G10" s="4"/>
      <c r="H10" s="4"/>
      <c r="I10" s="4"/>
      <c r="J10" s="4"/>
      <c r="K10" s="4"/>
      <c r="L10" s="4"/>
    </row>
    <row r="11" spans="1:12" x14ac:dyDescent="0.25">
      <c r="E11" s="4"/>
      <c r="F11" s="4"/>
      <c r="G11" s="4"/>
      <c r="H11" s="4"/>
      <c r="I11" s="4"/>
      <c r="J11" s="4"/>
      <c r="K11" s="4"/>
      <c r="L11" s="4"/>
    </row>
    <row r="12" spans="1:12" x14ac:dyDescent="0.25">
      <c r="E12" s="4"/>
      <c r="F12" s="4"/>
      <c r="G12" s="4"/>
      <c r="H12" s="4"/>
      <c r="I12" s="4"/>
      <c r="J12" s="4"/>
      <c r="K12" s="4"/>
      <c r="L12" s="4"/>
    </row>
    <row r="13" spans="1:12" x14ac:dyDescent="0.25">
      <c r="E13" s="4"/>
      <c r="F13" s="4"/>
      <c r="G13" s="4"/>
      <c r="H13" s="4"/>
      <c r="I13" s="4"/>
      <c r="J13" s="4"/>
      <c r="K13" s="4"/>
      <c r="L13" s="4"/>
    </row>
    <row r="14" spans="1:12" x14ac:dyDescent="0.25">
      <c r="E14" s="4"/>
      <c r="F14" s="4"/>
      <c r="G14" s="4"/>
      <c r="H14" s="4"/>
      <c r="I14" s="4"/>
      <c r="J14" s="4"/>
      <c r="K14" s="4"/>
      <c r="L14" s="4"/>
    </row>
    <row r="15" spans="1:12" x14ac:dyDescent="0.25">
      <c r="E15" s="4"/>
      <c r="F15" s="4"/>
      <c r="G15" s="4"/>
      <c r="H15" s="4"/>
      <c r="I15" s="4"/>
      <c r="J15" s="4"/>
      <c r="K15" s="4"/>
      <c r="L15" s="4"/>
    </row>
    <row r="16" spans="1:12" x14ac:dyDescent="0.25">
      <c r="E16" s="4"/>
      <c r="F16" s="4"/>
      <c r="G16" s="4"/>
      <c r="H16" s="4"/>
      <c r="I16" s="4"/>
      <c r="J16" s="4"/>
      <c r="K16" s="4"/>
      <c r="L16" s="4"/>
    </row>
  </sheetData>
  <mergeCells count="2">
    <mergeCell ref="D3:I3"/>
    <mergeCell ref="E5:L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90715-BCD8-4A80-BF7D-48A75BE069C4}">
  <dimension ref="B2:O22"/>
  <sheetViews>
    <sheetView workbookViewId="0">
      <selection activeCell="G11" sqref="G11"/>
    </sheetView>
  </sheetViews>
  <sheetFormatPr defaultRowHeight="15" x14ac:dyDescent="0.25"/>
  <cols>
    <col min="1" max="1" width="9.85546875" customWidth="1"/>
    <col min="2" max="2" width="13.5703125" customWidth="1"/>
    <col min="13" max="13" width="13.5703125" customWidth="1"/>
  </cols>
  <sheetData>
    <row r="2" spans="2:15" x14ac:dyDescent="0.25">
      <c r="B2" s="14" t="s">
        <v>12</v>
      </c>
      <c r="C2" s="14" t="s">
        <v>13</v>
      </c>
      <c r="D2" s="14" t="s">
        <v>14</v>
      </c>
      <c r="E2" s="14" t="s">
        <v>15</v>
      </c>
      <c r="F2" s="14" t="s">
        <v>16</v>
      </c>
    </row>
    <row r="3" spans="2:15" x14ac:dyDescent="0.25">
      <c r="B3" s="16">
        <v>45292</v>
      </c>
      <c r="C3" s="15" t="s">
        <v>8</v>
      </c>
      <c r="D3" s="15" t="s">
        <v>17</v>
      </c>
      <c r="E3" s="14">
        <v>456</v>
      </c>
      <c r="F3" s="15">
        <v>93</v>
      </c>
      <c r="H3" s="5" t="s">
        <v>21</v>
      </c>
      <c r="I3" s="6"/>
      <c r="J3" s="6"/>
      <c r="K3" s="6"/>
      <c r="L3" s="6"/>
      <c r="M3" s="6"/>
    </row>
    <row r="4" spans="2:15" x14ac:dyDescent="0.25">
      <c r="B4" s="16">
        <v>45301</v>
      </c>
      <c r="C4" s="15" t="s">
        <v>7</v>
      </c>
      <c r="D4" s="15" t="s">
        <v>18</v>
      </c>
      <c r="E4" s="15">
        <v>348</v>
      </c>
      <c r="F4" s="15">
        <v>56</v>
      </c>
    </row>
    <row r="5" spans="2:15" x14ac:dyDescent="0.25">
      <c r="B5" s="16">
        <v>45311.052627314813</v>
      </c>
      <c r="C5" s="15" t="s">
        <v>7</v>
      </c>
      <c r="D5" s="15" t="s">
        <v>17</v>
      </c>
      <c r="E5" s="15">
        <v>247</v>
      </c>
      <c r="F5" s="15">
        <v>76</v>
      </c>
      <c r="H5" s="11" t="s">
        <v>1</v>
      </c>
      <c r="I5" s="3" t="s">
        <v>20</v>
      </c>
      <c r="J5" s="4"/>
      <c r="K5" s="4"/>
      <c r="L5" s="4"/>
      <c r="M5" s="4"/>
      <c r="N5" s="4"/>
      <c r="O5" s="4"/>
    </row>
    <row r="6" spans="2:15" x14ac:dyDescent="0.25">
      <c r="B6" s="16">
        <v>45320.578946759262</v>
      </c>
      <c r="C6" s="15" t="s">
        <v>8</v>
      </c>
      <c r="D6" s="15" t="s">
        <v>19</v>
      </c>
      <c r="E6" s="15">
        <v>230</v>
      </c>
      <c r="F6" s="15">
        <v>37</v>
      </c>
      <c r="I6" s="4"/>
      <c r="J6" s="4"/>
      <c r="K6" s="4"/>
      <c r="L6" s="4"/>
      <c r="M6" s="4"/>
      <c r="N6" s="4"/>
      <c r="O6" s="4"/>
    </row>
    <row r="7" spans="2:15" x14ac:dyDescent="0.25">
      <c r="B7" s="16">
        <v>45330.105266203704</v>
      </c>
      <c r="C7" s="15" t="s">
        <v>8</v>
      </c>
      <c r="D7" s="15" t="s">
        <v>17</v>
      </c>
      <c r="E7" s="15">
        <v>281</v>
      </c>
      <c r="F7" s="15">
        <v>50</v>
      </c>
      <c r="I7" s="4"/>
      <c r="J7" s="4"/>
      <c r="K7" s="4"/>
      <c r="L7" s="4"/>
      <c r="M7" s="4"/>
      <c r="N7" s="4"/>
      <c r="O7" s="4"/>
    </row>
    <row r="8" spans="2:15" x14ac:dyDescent="0.25">
      <c r="B8" s="16">
        <v>45339.631574074076</v>
      </c>
      <c r="C8" s="15" t="s">
        <v>8</v>
      </c>
      <c r="D8" s="15" t="s">
        <v>18</v>
      </c>
      <c r="E8" s="15">
        <v>334</v>
      </c>
      <c r="F8" s="15">
        <v>52</v>
      </c>
      <c r="I8" s="4"/>
      <c r="J8" s="4"/>
      <c r="K8" s="4"/>
      <c r="L8" s="4"/>
      <c r="M8" s="4"/>
      <c r="N8" s="4"/>
      <c r="O8" s="4"/>
    </row>
    <row r="9" spans="2:15" x14ac:dyDescent="0.25">
      <c r="B9" s="16">
        <v>45349.157893518517</v>
      </c>
      <c r="C9" s="15" t="s">
        <v>7</v>
      </c>
      <c r="D9" s="15" t="s">
        <v>19</v>
      </c>
      <c r="E9" s="14">
        <v>417</v>
      </c>
      <c r="F9" s="15">
        <v>29</v>
      </c>
      <c r="I9" s="4"/>
      <c r="J9" s="4"/>
      <c r="K9" s="4"/>
      <c r="L9" s="4"/>
      <c r="M9" s="4"/>
      <c r="N9" s="4"/>
      <c r="O9" s="4"/>
    </row>
    <row r="10" spans="2:15" x14ac:dyDescent="0.25">
      <c r="B10" s="16">
        <v>45358.684212962966</v>
      </c>
      <c r="C10" s="15" t="s">
        <v>8</v>
      </c>
      <c r="D10" s="15" t="s">
        <v>19</v>
      </c>
      <c r="E10" s="14">
        <v>441</v>
      </c>
      <c r="F10" s="15">
        <v>44</v>
      </c>
      <c r="I10" s="4"/>
      <c r="J10" s="4"/>
      <c r="K10" s="4"/>
      <c r="L10" s="4"/>
      <c r="M10" s="4"/>
      <c r="N10" s="4"/>
      <c r="O10" s="4"/>
    </row>
    <row r="11" spans="2:15" x14ac:dyDescent="0.25">
      <c r="B11" s="16">
        <v>45368.210520833331</v>
      </c>
      <c r="C11" s="15" t="s">
        <v>7</v>
      </c>
      <c r="D11" s="15" t="s">
        <v>17</v>
      </c>
      <c r="E11" s="15">
        <v>76</v>
      </c>
      <c r="F11" s="15">
        <v>63</v>
      </c>
      <c r="I11" s="4"/>
      <c r="J11" s="4"/>
      <c r="K11" s="4"/>
      <c r="L11" s="4"/>
      <c r="M11" s="4"/>
      <c r="N11" s="4"/>
      <c r="O11" s="4"/>
    </row>
    <row r="12" spans="2:15" x14ac:dyDescent="0.25">
      <c r="B12" s="16">
        <v>45377.736840277779</v>
      </c>
      <c r="C12" s="15" t="s">
        <v>8</v>
      </c>
      <c r="D12" s="15" t="s">
        <v>18</v>
      </c>
      <c r="E12" s="15">
        <v>441</v>
      </c>
      <c r="F12" s="15">
        <v>79</v>
      </c>
      <c r="I12" s="4"/>
      <c r="J12" s="4"/>
      <c r="K12" s="4"/>
      <c r="L12" s="4"/>
      <c r="M12" s="4"/>
      <c r="N12" s="4"/>
      <c r="O12" s="4"/>
    </row>
    <row r="13" spans="2:15" x14ac:dyDescent="0.25">
      <c r="B13" s="16">
        <v>45387.263159722221</v>
      </c>
      <c r="C13" s="15" t="s">
        <v>7</v>
      </c>
      <c r="D13" s="15" t="s">
        <v>17</v>
      </c>
      <c r="E13" s="15">
        <v>205</v>
      </c>
      <c r="F13" s="15">
        <v>23</v>
      </c>
      <c r="I13" s="4"/>
      <c r="J13" s="4"/>
      <c r="K13" s="4"/>
      <c r="L13" s="4"/>
      <c r="M13" s="4"/>
      <c r="N13" s="4"/>
      <c r="O13" s="4"/>
    </row>
    <row r="14" spans="2:15" x14ac:dyDescent="0.25">
      <c r="B14" s="16">
        <v>45396.789479166669</v>
      </c>
      <c r="C14" s="15" t="s">
        <v>8</v>
      </c>
      <c r="D14" s="15" t="s">
        <v>18</v>
      </c>
      <c r="E14" s="14">
        <v>483</v>
      </c>
      <c r="F14" s="15">
        <v>97</v>
      </c>
      <c r="I14" s="4"/>
      <c r="J14" s="4"/>
      <c r="K14" s="4"/>
      <c r="L14" s="4"/>
      <c r="M14" s="4"/>
      <c r="N14" s="4"/>
      <c r="O14" s="4"/>
    </row>
    <row r="15" spans="2:15" x14ac:dyDescent="0.25">
      <c r="B15" s="16">
        <v>45406.315787037034</v>
      </c>
      <c r="C15" s="15" t="s">
        <v>5</v>
      </c>
      <c r="D15" s="15" t="s">
        <v>17</v>
      </c>
      <c r="E15" s="14">
        <v>467</v>
      </c>
      <c r="F15" s="15">
        <v>97</v>
      </c>
      <c r="I15" s="4"/>
      <c r="J15" s="4"/>
      <c r="K15" s="4"/>
      <c r="L15" s="4"/>
      <c r="M15" s="4"/>
      <c r="N15" s="4"/>
      <c r="O15" s="4"/>
    </row>
    <row r="16" spans="2:15" x14ac:dyDescent="0.25">
      <c r="B16" s="16">
        <v>45415.842106481483</v>
      </c>
      <c r="C16" s="15" t="s">
        <v>8</v>
      </c>
      <c r="D16" s="15" t="s">
        <v>17</v>
      </c>
      <c r="E16" s="15">
        <v>380</v>
      </c>
      <c r="F16" s="15">
        <v>92</v>
      </c>
      <c r="I16" s="4"/>
      <c r="J16" s="4"/>
      <c r="K16" s="4"/>
      <c r="L16" s="4"/>
      <c r="M16" s="4"/>
      <c r="N16" s="4"/>
      <c r="O16" s="4"/>
    </row>
    <row r="17" spans="2:15" x14ac:dyDescent="0.25">
      <c r="B17" s="16">
        <v>45425.368425925924</v>
      </c>
      <c r="C17" s="15" t="s">
        <v>7</v>
      </c>
      <c r="D17" s="15" t="s">
        <v>18</v>
      </c>
      <c r="E17" s="14">
        <v>497</v>
      </c>
      <c r="F17" s="15">
        <v>71</v>
      </c>
      <c r="I17" s="4"/>
      <c r="J17" s="4"/>
      <c r="K17" s="4"/>
      <c r="L17" s="4"/>
      <c r="M17" s="4"/>
      <c r="N17" s="4"/>
      <c r="O17" s="4"/>
    </row>
    <row r="18" spans="2:15" x14ac:dyDescent="0.25">
      <c r="B18" s="16">
        <v>45434.894733796296</v>
      </c>
      <c r="C18" s="15" t="s">
        <v>7</v>
      </c>
      <c r="D18" s="15" t="s">
        <v>17</v>
      </c>
      <c r="E18" s="14">
        <v>409</v>
      </c>
      <c r="F18" s="15">
        <v>81</v>
      </c>
      <c r="I18" s="4"/>
      <c r="J18" s="4"/>
      <c r="K18" s="4"/>
      <c r="L18" s="4"/>
      <c r="M18" s="4"/>
      <c r="N18" s="4"/>
      <c r="O18" s="4"/>
    </row>
    <row r="19" spans="2:15" x14ac:dyDescent="0.25">
      <c r="B19" s="16">
        <v>45444.421053240738</v>
      </c>
      <c r="C19" s="15" t="s">
        <v>8</v>
      </c>
      <c r="D19" s="15" t="s">
        <v>18</v>
      </c>
      <c r="E19" s="15">
        <v>53</v>
      </c>
      <c r="F19" s="15">
        <v>45</v>
      </c>
    </row>
    <row r="20" spans="2:15" x14ac:dyDescent="0.25">
      <c r="B20" s="16">
        <v>45453.947372685187</v>
      </c>
      <c r="C20" s="15" t="s">
        <v>8</v>
      </c>
      <c r="D20" s="15" t="s">
        <v>19</v>
      </c>
      <c r="E20" s="15">
        <v>398</v>
      </c>
      <c r="F20" s="15">
        <v>33</v>
      </c>
    </row>
    <row r="21" spans="2:15" x14ac:dyDescent="0.25">
      <c r="B21" s="16">
        <v>45463.473680555559</v>
      </c>
      <c r="C21" s="15" t="s">
        <v>6</v>
      </c>
      <c r="D21" s="15" t="s">
        <v>18</v>
      </c>
      <c r="E21" s="15">
        <v>347</v>
      </c>
      <c r="F21" s="15">
        <v>35</v>
      </c>
    </row>
    <row r="22" spans="2:15" x14ac:dyDescent="0.25">
      <c r="B22" s="16">
        <v>45473</v>
      </c>
      <c r="C22" s="15" t="s">
        <v>7</v>
      </c>
      <c r="D22" s="15" t="s">
        <v>19</v>
      </c>
      <c r="E22" s="15">
        <v>319</v>
      </c>
      <c r="F22" s="15">
        <v>45</v>
      </c>
    </row>
  </sheetData>
  <mergeCells count="2">
    <mergeCell ref="H3:M3"/>
    <mergeCell ref="I5:O18"/>
  </mergeCells>
  <conditionalFormatting sqref="E2:E22">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FB03B-A7EB-4F67-845F-B2836D742FFE}">
  <dimension ref="B2:V22"/>
  <sheetViews>
    <sheetView workbookViewId="0">
      <selection activeCell="P4" sqref="P4:V15"/>
    </sheetView>
  </sheetViews>
  <sheetFormatPr defaultRowHeight="15" x14ac:dyDescent="0.25"/>
  <cols>
    <col min="2" max="2" width="17.42578125" customWidth="1"/>
    <col min="3" max="3" width="9.28515625" customWidth="1"/>
    <col min="4" max="4" width="10" customWidth="1"/>
    <col min="6" max="6" width="10.85546875" customWidth="1"/>
  </cols>
  <sheetData>
    <row r="2" spans="2:22" x14ac:dyDescent="0.25">
      <c r="B2" s="19" t="s">
        <v>12</v>
      </c>
      <c r="C2" s="20" t="s">
        <v>13</v>
      </c>
      <c r="D2" s="20" t="s">
        <v>14</v>
      </c>
      <c r="E2" s="20" t="s">
        <v>15</v>
      </c>
      <c r="F2" s="21" t="s">
        <v>16</v>
      </c>
      <c r="I2" s="5" t="s">
        <v>22</v>
      </c>
      <c r="J2" s="6"/>
      <c r="K2" s="6"/>
      <c r="L2" s="6"/>
      <c r="M2" s="6"/>
      <c r="N2" s="6"/>
      <c r="O2" s="6"/>
      <c r="P2" s="6"/>
      <c r="Q2" s="6"/>
    </row>
    <row r="3" spans="2:22" x14ac:dyDescent="0.25">
      <c r="B3" s="17">
        <v>45292</v>
      </c>
      <c r="C3" s="15" t="s">
        <v>8</v>
      </c>
      <c r="D3" s="15" t="s">
        <v>17</v>
      </c>
      <c r="E3" s="15">
        <v>456</v>
      </c>
      <c r="F3" s="18">
        <v>93</v>
      </c>
    </row>
    <row r="4" spans="2:22" x14ac:dyDescent="0.25">
      <c r="B4" s="17">
        <v>45301.526319444441</v>
      </c>
      <c r="C4" s="15" t="s">
        <v>7</v>
      </c>
      <c r="D4" s="15" t="s">
        <v>18</v>
      </c>
      <c r="E4" s="15">
        <v>348</v>
      </c>
      <c r="F4" s="18">
        <v>56</v>
      </c>
      <c r="H4" s="3" t="s">
        <v>23</v>
      </c>
      <c r="I4" s="4"/>
      <c r="J4" s="4"/>
      <c r="K4" s="4"/>
      <c r="L4" s="4"/>
      <c r="M4" s="4"/>
      <c r="N4" s="4"/>
      <c r="P4" s="3" t="s">
        <v>24</v>
      </c>
      <c r="Q4" s="4"/>
      <c r="R4" s="4"/>
      <c r="S4" s="4"/>
      <c r="T4" s="4"/>
      <c r="U4" s="4"/>
      <c r="V4" s="4"/>
    </row>
    <row r="5" spans="2:22" x14ac:dyDescent="0.25">
      <c r="B5" s="17">
        <v>45311.052627314813</v>
      </c>
      <c r="C5" s="15" t="s">
        <v>7</v>
      </c>
      <c r="D5" s="15" t="s">
        <v>17</v>
      </c>
      <c r="E5" s="15">
        <v>247</v>
      </c>
      <c r="F5" s="18">
        <v>76</v>
      </c>
      <c r="H5" s="4"/>
      <c r="I5" s="4"/>
      <c r="J5" s="4"/>
      <c r="K5" s="4"/>
      <c r="L5" s="4"/>
      <c r="M5" s="4"/>
      <c r="N5" s="4"/>
      <c r="P5" s="4"/>
      <c r="Q5" s="4"/>
      <c r="R5" s="4"/>
      <c r="S5" s="4"/>
      <c r="T5" s="4"/>
      <c r="U5" s="4"/>
      <c r="V5" s="4"/>
    </row>
    <row r="6" spans="2:22" x14ac:dyDescent="0.25">
      <c r="B6" s="17">
        <v>45320.578946759262</v>
      </c>
      <c r="C6" s="15" t="s">
        <v>8</v>
      </c>
      <c r="D6" s="15" t="s">
        <v>19</v>
      </c>
      <c r="E6" s="15">
        <v>230</v>
      </c>
      <c r="F6" s="18">
        <v>37</v>
      </c>
      <c r="H6" s="4"/>
      <c r="I6" s="4"/>
      <c r="J6" s="4"/>
      <c r="K6" s="4"/>
      <c r="L6" s="4"/>
      <c r="M6" s="4"/>
      <c r="N6" s="4"/>
      <c r="P6" s="4"/>
      <c r="Q6" s="4"/>
      <c r="R6" s="4"/>
      <c r="S6" s="4"/>
      <c r="T6" s="4"/>
      <c r="U6" s="4"/>
      <c r="V6" s="4"/>
    </row>
    <row r="7" spans="2:22" x14ac:dyDescent="0.25">
      <c r="B7" s="17">
        <v>45330.105266203704</v>
      </c>
      <c r="C7" s="15" t="s">
        <v>8</v>
      </c>
      <c r="D7" s="15" t="s">
        <v>17</v>
      </c>
      <c r="E7" s="15">
        <v>281</v>
      </c>
      <c r="F7" s="18">
        <v>50</v>
      </c>
      <c r="H7" s="4"/>
      <c r="I7" s="4"/>
      <c r="J7" s="4"/>
      <c r="K7" s="4"/>
      <c r="L7" s="4"/>
      <c r="M7" s="4"/>
      <c r="N7" s="4"/>
      <c r="P7" s="4"/>
      <c r="Q7" s="4"/>
      <c r="R7" s="4"/>
      <c r="S7" s="4"/>
      <c r="T7" s="4"/>
      <c r="U7" s="4"/>
      <c r="V7" s="4"/>
    </row>
    <row r="8" spans="2:22" x14ac:dyDescent="0.25">
      <c r="B8" s="17">
        <v>45339.631574074076</v>
      </c>
      <c r="C8" s="15" t="s">
        <v>8</v>
      </c>
      <c r="D8" s="15" t="s">
        <v>18</v>
      </c>
      <c r="E8" s="15">
        <v>334</v>
      </c>
      <c r="F8" s="18">
        <v>52</v>
      </c>
      <c r="H8" s="4"/>
      <c r="I8" s="4"/>
      <c r="J8" s="4"/>
      <c r="K8" s="4"/>
      <c r="L8" s="4"/>
      <c r="M8" s="4"/>
      <c r="N8" s="4"/>
      <c r="P8" s="4"/>
      <c r="Q8" s="4"/>
      <c r="R8" s="4"/>
      <c r="S8" s="4"/>
      <c r="T8" s="4"/>
      <c r="U8" s="4"/>
      <c r="V8" s="4"/>
    </row>
    <row r="9" spans="2:22" x14ac:dyDescent="0.25">
      <c r="B9" s="17">
        <v>45349.157893518517</v>
      </c>
      <c r="C9" s="15" t="s">
        <v>7</v>
      </c>
      <c r="D9" s="15" t="s">
        <v>19</v>
      </c>
      <c r="E9" s="15">
        <v>417</v>
      </c>
      <c r="F9" s="18">
        <v>29</v>
      </c>
      <c r="H9" s="4"/>
      <c r="I9" s="4"/>
      <c r="J9" s="4"/>
      <c r="K9" s="4"/>
      <c r="L9" s="4"/>
      <c r="M9" s="4"/>
      <c r="N9" s="4"/>
      <c r="P9" s="4"/>
      <c r="Q9" s="4"/>
      <c r="R9" s="4"/>
      <c r="S9" s="4"/>
      <c r="T9" s="4"/>
      <c r="U9" s="4"/>
      <c r="V9" s="4"/>
    </row>
    <row r="10" spans="2:22" x14ac:dyDescent="0.25">
      <c r="B10" s="17">
        <v>45358.684212962966</v>
      </c>
      <c r="C10" s="15" t="s">
        <v>8</v>
      </c>
      <c r="D10" s="15" t="s">
        <v>19</v>
      </c>
      <c r="E10" s="15">
        <v>441</v>
      </c>
      <c r="F10" s="18">
        <v>44</v>
      </c>
      <c r="H10" s="4"/>
      <c r="I10" s="4"/>
      <c r="J10" s="4"/>
      <c r="K10" s="4"/>
      <c r="L10" s="4"/>
      <c r="M10" s="4"/>
      <c r="N10" s="4"/>
      <c r="P10" s="4"/>
      <c r="Q10" s="4"/>
      <c r="R10" s="4"/>
      <c r="S10" s="4"/>
      <c r="T10" s="4"/>
      <c r="U10" s="4"/>
      <c r="V10" s="4"/>
    </row>
    <row r="11" spans="2:22" x14ac:dyDescent="0.25">
      <c r="B11" s="17">
        <v>45368.210520833331</v>
      </c>
      <c r="C11" s="15" t="s">
        <v>7</v>
      </c>
      <c r="D11" s="15" t="s">
        <v>17</v>
      </c>
      <c r="E11" s="15">
        <v>76</v>
      </c>
      <c r="F11" s="18">
        <v>63</v>
      </c>
      <c r="H11" s="4"/>
      <c r="I11" s="4"/>
      <c r="J11" s="4"/>
      <c r="K11" s="4"/>
      <c r="L11" s="4"/>
      <c r="M11" s="4"/>
      <c r="N11" s="4"/>
      <c r="P11" s="4"/>
      <c r="Q11" s="4"/>
      <c r="R11" s="4"/>
      <c r="S11" s="4"/>
      <c r="T11" s="4"/>
      <c r="U11" s="4"/>
      <c r="V11" s="4"/>
    </row>
    <row r="12" spans="2:22" x14ac:dyDescent="0.25">
      <c r="B12" s="17">
        <v>45377.736840277779</v>
      </c>
      <c r="C12" s="15" t="s">
        <v>8</v>
      </c>
      <c r="D12" s="15" t="s">
        <v>18</v>
      </c>
      <c r="E12" s="15">
        <v>441</v>
      </c>
      <c r="F12" s="18">
        <v>79</v>
      </c>
      <c r="H12" s="4"/>
      <c r="I12" s="4"/>
      <c r="J12" s="4"/>
      <c r="K12" s="4"/>
      <c r="L12" s="4"/>
      <c r="M12" s="4"/>
      <c r="N12" s="4"/>
      <c r="P12" s="4"/>
      <c r="Q12" s="4"/>
      <c r="R12" s="4"/>
      <c r="S12" s="4"/>
      <c r="T12" s="4"/>
      <c r="U12" s="4"/>
      <c r="V12" s="4"/>
    </row>
    <row r="13" spans="2:22" x14ac:dyDescent="0.25">
      <c r="B13" s="17">
        <v>45387.263159722221</v>
      </c>
      <c r="C13" s="15" t="s">
        <v>7</v>
      </c>
      <c r="D13" s="15" t="s">
        <v>17</v>
      </c>
      <c r="E13" s="15">
        <v>205</v>
      </c>
      <c r="F13" s="18">
        <v>23</v>
      </c>
      <c r="H13" s="4"/>
      <c r="I13" s="4"/>
      <c r="J13" s="4"/>
      <c r="K13" s="4"/>
      <c r="L13" s="4"/>
      <c r="M13" s="4"/>
      <c r="N13" s="4"/>
      <c r="P13" s="4"/>
      <c r="Q13" s="4"/>
      <c r="R13" s="4"/>
      <c r="S13" s="4"/>
      <c r="T13" s="4"/>
      <c r="U13" s="4"/>
      <c r="V13" s="4"/>
    </row>
    <row r="14" spans="2:22" x14ac:dyDescent="0.25">
      <c r="B14" s="17">
        <v>45396.789479166669</v>
      </c>
      <c r="C14" s="15" t="s">
        <v>8</v>
      </c>
      <c r="D14" s="15" t="s">
        <v>18</v>
      </c>
      <c r="E14" s="15">
        <v>483</v>
      </c>
      <c r="F14" s="18">
        <v>97</v>
      </c>
      <c r="H14" s="4"/>
      <c r="I14" s="4"/>
      <c r="J14" s="4"/>
      <c r="K14" s="4"/>
      <c r="L14" s="4"/>
      <c r="M14" s="4"/>
      <c r="N14" s="4"/>
      <c r="P14" s="4"/>
      <c r="Q14" s="4"/>
      <c r="R14" s="4"/>
      <c r="S14" s="4"/>
      <c r="T14" s="4"/>
      <c r="U14" s="4"/>
      <c r="V14" s="4"/>
    </row>
    <row r="15" spans="2:22" x14ac:dyDescent="0.25">
      <c r="B15" s="17">
        <v>45406.315787037034</v>
      </c>
      <c r="C15" s="15" t="s">
        <v>5</v>
      </c>
      <c r="D15" s="15" t="s">
        <v>17</v>
      </c>
      <c r="E15" s="15">
        <v>467</v>
      </c>
      <c r="F15" s="18">
        <v>97</v>
      </c>
      <c r="H15" s="4"/>
      <c r="I15" s="4"/>
      <c r="J15" s="4"/>
      <c r="K15" s="4"/>
      <c r="L15" s="4"/>
      <c r="M15" s="4"/>
      <c r="N15" s="4"/>
      <c r="P15" s="4"/>
      <c r="Q15" s="4"/>
      <c r="R15" s="4"/>
      <c r="S15" s="4"/>
      <c r="T15" s="4"/>
      <c r="U15" s="4"/>
      <c r="V15" s="4"/>
    </row>
    <row r="16" spans="2:22" x14ac:dyDescent="0.25">
      <c r="B16" s="17">
        <v>45415.842106481483</v>
      </c>
      <c r="C16" s="15" t="s">
        <v>8</v>
      </c>
      <c r="D16" s="15" t="s">
        <v>17</v>
      </c>
      <c r="E16" s="15">
        <v>380</v>
      </c>
      <c r="F16" s="18">
        <v>92</v>
      </c>
    </row>
    <row r="17" spans="2:6" x14ac:dyDescent="0.25">
      <c r="B17" s="17">
        <v>45425.368425925924</v>
      </c>
      <c r="C17" s="15" t="s">
        <v>7</v>
      </c>
      <c r="D17" s="15" t="s">
        <v>18</v>
      </c>
      <c r="E17" s="15">
        <v>497</v>
      </c>
      <c r="F17" s="18">
        <v>71</v>
      </c>
    </row>
    <row r="18" spans="2:6" x14ac:dyDescent="0.25">
      <c r="B18" s="17">
        <v>45434.894733796296</v>
      </c>
      <c r="C18" s="15" t="s">
        <v>7</v>
      </c>
      <c r="D18" s="15" t="s">
        <v>17</v>
      </c>
      <c r="E18" s="15">
        <v>409</v>
      </c>
      <c r="F18" s="18">
        <v>81</v>
      </c>
    </row>
    <row r="19" spans="2:6" x14ac:dyDescent="0.25">
      <c r="B19" s="17">
        <v>45444.421053240738</v>
      </c>
      <c r="C19" s="15" t="s">
        <v>8</v>
      </c>
      <c r="D19" s="15" t="s">
        <v>18</v>
      </c>
      <c r="E19" s="15">
        <v>53</v>
      </c>
      <c r="F19" s="18">
        <v>45</v>
      </c>
    </row>
    <row r="20" spans="2:6" x14ac:dyDescent="0.25">
      <c r="B20" s="17">
        <v>45453.947372685187</v>
      </c>
      <c r="C20" s="15" t="s">
        <v>8</v>
      </c>
      <c r="D20" s="15" t="s">
        <v>19</v>
      </c>
      <c r="E20" s="15">
        <v>398</v>
      </c>
      <c r="F20" s="18">
        <v>33</v>
      </c>
    </row>
    <row r="21" spans="2:6" x14ac:dyDescent="0.25">
      <c r="B21" s="17">
        <v>45463.473680555559</v>
      </c>
      <c r="C21" s="15" t="s">
        <v>6</v>
      </c>
      <c r="D21" s="15" t="s">
        <v>18</v>
      </c>
      <c r="E21" s="15">
        <v>347</v>
      </c>
      <c r="F21" s="18">
        <v>35</v>
      </c>
    </row>
    <row r="22" spans="2:6" x14ac:dyDescent="0.25">
      <c r="B22" s="22">
        <v>45473</v>
      </c>
      <c r="C22" s="23" t="s">
        <v>7</v>
      </c>
      <c r="D22" s="23" t="s">
        <v>19</v>
      </c>
      <c r="E22" s="23">
        <v>319</v>
      </c>
      <c r="F22" s="24">
        <v>45</v>
      </c>
    </row>
  </sheetData>
  <mergeCells count="3">
    <mergeCell ref="I2:Q2"/>
    <mergeCell ref="H4:N15"/>
    <mergeCell ref="P4:V1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25C9-E766-4AEA-A53E-E4F4DF915B4E}">
  <dimension ref="A2:G9"/>
  <sheetViews>
    <sheetView workbookViewId="0">
      <selection activeCell="J12" sqref="J12"/>
    </sheetView>
  </sheetViews>
  <sheetFormatPr defaultRowHeight="15" x14ac:dyDescent="0.25"/>
  <cols>
    <col min="1" max="1" width="11.28515625" bestFit="1" customWidth="1"/>
    <col min="2" max="2" width="10.42578125" bestFit="1" customWidth="1"/>
    <col min="3" max="19" width="16.28515625" bestFit="1" customWidth="1"/>
    <col min="20" max="20" width="11.28515625" bestFit="1" customWidth="1"/>
  </cols>
  <sheetData>
    <row r="2" spans="1:7" x14ac:dyDescent="0.25">
      <c r="D2" s="2" t="s">
        <v>34</v>
      </c>
      <c r="E2" s="1"/>
      <c r="F2" s="1"/>
      <c r="G2" s="1"/>
    </row>
    <row r="3" spans="1:7" x14ac:dyDescent="0.25">
      <c r="A3" s="9" t="s">
        <v>25</v>
      </c>
      <c r="B3" s="8" t="s">
        <v>33</v>
      </c>
      <c r="D3" t="s">
        <v>1</v>
      </c>
    </row>
    <row r="4" spans="1:7" x14ac:dyDescent="0.25">
      <c r="A4" s="7" t="s">
        <v>27</v>
      </c>
      <c r="B4" s="8">
        <v>703</v>
      </c>
    </row>
    <row r="5" spans="1:7" x14ac:dyDescent="0.25">
      <c r="A5" s="7" t="s">
        <v>28</v>
      </c>
      <c r="B5" s="8">
        <v>281</v>
      </c>
    </row>
    <row r="6" spans="1:7" x14ac:dyDescent="0.25">
      <c r="A6" s="7" t="s">
        <v>29</v>
      </c>
      <c r="B6" s="8">
        <v>76</v>
      </c>
    </row>
    <row r="7" spans="1:7" x14ac:dyDescent="0.25">
      <c r="A7" s="7" t="s">
        <v>30</v>
      </c>
      <c r="B7" s="8">
        <v>672</v>
      </c>
    </row>
    <row r="8" spans="1:7" x14ac:dyDescent="0.25">
      <c r="A8" s="7" t="s">
        <v>31</v>
      </c>
      <c r="B8" s="8">
        <v>789</v>
      </c>
    </row>
    <row r="9" spans="1:7" x14ac:dyDescent="0.25">
      <c r="A9" s="7" t="s">
        <v>9</v>
      </c>
      <c r="B9" s="8">
        <v>2521</v>
      </c>
    </row>
  </sheetData>
  <mergeCells count="1">
    <mergeCell ref="D2:G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F10C-2E45-4C8D-AC3B-9FA4180BC9D9}">
  <dimension ref="A2:B8"/>
  <sheetViews>
    <sheetView topLeftCell="B1" workbookViewId="0">
      <selection activeCell="M23" sqref="M23"/>
    </sheetView>
  </sheetViews>
  <sheetFormatPr defaultRowHeight="15" x14ac:dyDescent="0.25"/>
  <cols>
    <col min="1" max="1" width="13.140625" bestFit="1" customWidth="1"/>
    <col min="2" max="2" width="10.42578125" bestFit="1" customWidth="1"/>
    <col min="3" max="3" width="3" bestFit="1" customWidth="1"/>
    <col min="4" max="19" width="4" bestFit="1" customWidth="1"/>
    <col min="20" max="20" width="8.28515625" customWidth="1"/>
    <col min="21" max="21" width="11.28515625" bestFit="1" customWidth="1"/>
  </cols>
  <sheetData>
    <row r="2" spans="1:2" x14ac:dyDescent="0.25">
      <c r="A2" s="10" t="s">
        <v>3</v>
      </c>
      <c r="B2" s="13" t="s">
        <v>33</v>
      </c>
    </row>
    <row r="3" spans="1:2" x14ac:dyDescent="0.25">
      <c r="A3" s="12" t="s">
        <v>27</v>
      </c>
      <c r="B3" s="13">
        <v>703</v>
      </c>
    </row>
    <row r="4" spans="1:2" x14ac:dyDescent="0.25">
      <c r="A4" s="12" t="s">
        <v>28</v>
      </c>
      <c r="B4" s="13">
        <v>281</v>
      </c>
    </row>
    <row r="5" spans="1:2" x14ac:dyDescent="0.25">
      <c r="A5" s="12" t="s">
        <v>29</v>
      </c>
      <c r="B5" s="13">
        <v>76</v>
      </c>
    </row>
    <row r="6" spans="1:2" x14ac:dyDescent="0.25">
      <c r="A6" s="12" t="s">
        <v>30</v>
      </c>
      <c r="B6" s="13">
        <v>672</v>
      </c>
    </row>
    <row r="7" spans="1:2" x14ac:dyDescent="0.25">
      <c r="A7" s="12" t="s">
        <v>31</v>
      </c>
      <c r="B7" s="13">
        <v>789</v>
      </c>
    </row>
    <row r="8" spans="1:2" x14ac:dyDescent="0.25">
      <c r="A8" s="7" t="s">
        <v>9</v>
      </c>
      <c r="B8" s="8">
        <v>2521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0003B-3216-434F-9C23-1AD1CFBB9EB1}">
  <dimension ref="B2:K15"/>
  <sheetViews>
    <sheetView workbookViewId="0">
      <selection activeCell="F18" sqref="F18"/>
    </sheetView>
  </sheetViews>
  <sheetFormatPr defaultRowHeight="15" x14ac:dyDescent="0.25"/>
  <sheetData>
    <row r="2" spans="2:11" x14ac:dyDescent="0.25">
      <c r="B2" s="2" t="s">
        <v>35</v>
      </c>
      <c r="C2" s="1"/>
      <c r="D2" s="1"/>
      <c r="E2" s="1"/>
      <c r="F2" s="1"/>
      <c r="G2" s="1"/>
      <c r="H2" s="1"/>
      <c r="I2" s="1"/>
    </row>
    <row r="4" spans="2:11" ht="15" customHeight="1" x14ac:dyDescent="0.25">
      <c r="B4" t="s">
        <v>1</v>
      </c>
      <c r="C4" s="3" t="s">
        <v>36</v>
      </c>
      <c r="D4" s="3"/>
      <c r="E4" s="3"/>
      <c r="F4" s="3"/>
      <c r="G4" s="3"/>
      <c r="H4" s="3"/>
      <c r="I4" s="3"/>
      <c r="J4" s="3"/>
      <c r="K4" s="3"/>
    </row>
    <row r="5" spans="2:11" x14ac:dyDescent="0.25">
      <c r="C5" s="3"/>
      <c r="D5" s="3"/>
      <c r="E5" s="3"/>
      <c r="F5" s="3"/>
      <c r="G5" s="3"/>
      <c r="H5" s="3"/>
      <c r="I5" s="3"/>
      <c r="J5" s="3"/>
      <c r="K5" s="3"/>
    </row>
    <row r="6" spans="2:11" x14ac:dyDescent="0.25">
      <c r="C6" s="3"/>
      <c r="D6" s="3"/>
      <c r="E6" s="3"/>
      <c r="F6" s="3"/>
      <c r="G6" s="3"/>
      <c r="H6" s="3"/>
      <c r="I6" s="3"/>
      <c r="J6" s="3"/>
      <c r="K6" s="3"/>
    </row>
    <row r="7" spans="2:11" x14ac:dyDescent="0.25">
      <c r="C7" s="3"/>
      <c r="D7" s="3"/>
      <c r="E7" s="3"/>
      <c r="F7" s="3"/>
      <c r="G7" s="3"/>
      <c r="H7" s="3"/>
      <c r="I7" s="3"/>
      <c r="J7" s="3"/>
      <c r="K7" s="3"/>
    </row>
    <row r="8" spans="2:11" x14ac:dyDescent="0.25">
      <c r="C8" s="3"/>
      <c r="D8" s="3"/>
      <c r="E8" s="3"/>
      <c r="F8" s="3"/>
      <c r="G8" s="3"/>
      <c r="H8" s="3"/>
      <c r="I8" s="3"/>
      <c r="J8" s="3"/>
      <c r="K8" s="3"/>
    </row>
    <row r="9" spans="2:11" x14ac:dyDescent="0.25">
      <c r="C9" s="3"/>
      <c r="D9" s="3"/>
      <c r="E9" s="3"/>
      <c r="F9" s="3"/>
      <c r="G9" s="3"/>
      <c r="H9" s="3"/>
      <c r="I9" s="3"/>
      <c r="J9" s="3"/>
      <c r="K9" s="3"/>
    </row>
    <row r="10" spans="2:11" x14ac:dyDescent="0.25">
      <c r="C10" s="3"/>
      <c r="D10" s="3"/>
      <c r="E10" s="3"/>
      <c r="F10" s="3"/>
      <c r="G10" s="3"/>
      <c r="H10" s="3"/>
      <c r="I10" s="3"/>
      <c r="J10" s="3"/>
      <c r="K10" s="3"/>
    </row>
    <row r="11" spans="2:11" x14ac:dyDescent="0.25">
      <c r="C11" s="3"/>
      <c r="D11" s="3"/>
      <c r="E11" s="3"/>
      <c r="F11" s="3"/>
      <c r="G11" s="3"/>
      <c r="H11" s="3"/>
      <c r="I11" s="3"/>
      <c r="J11" s="3"/>
      <c r="K11" s="3"/>
    </row>
    <row r="12" spans="2:11" x14ac:dyDescent="0.25">
      <c r="C12" s="3"/>
      <c r="D12" s="3"/>
      <c r="E12" s="3"/>
      <c r="F12" s="3"/>
      <c r="G12" s="3"/>
      <c r="H12" s="3"/>
      <c r="I12" s="3"/>
      <c r="J12" s="3"/>
      <c r="K12" s="3"/>
    </row>
    <row r="13" spans="2:11" x14ac:dyDescent="0.25">
      <c r="C13" s="3"/>
      <c r="D13" s="3"/>
      <c r="E13" s="3"/>
      <c r="F13" s="3"/>
      <c r="G13" s="3"/>
      <c r="H13" s="3"/>
      <c r="I13" s="3"/>
      <c r="J13" s="3"/>
      <c r="K13" s="3"/>
    </row>
    <row r="14" spans="2:11" x14ac:dyDescent="0.25">
      <c r="C14" s="3"/>
      <c r="D14" s="3"/>
      <c r="E14" s="3"/>
      <c r="F14" s="3"/>
      <c r="G14" s="3"/>
      <c r="H14" s="3"/>
      <c r="I14" s="3"/>
      <c r="J14" s="3"/>
      <c r="K14" s="3"/>
    </row>
    <row r="15" spans="2:11" x14ac:dyDescent="0.25">
      <c r="C15" s="3"/>
      <c r="D15" s="3"/>
      <c r="E15" s="3"/>
      <c r="F15" s="3"/>
      <c r="G15" s="3"/>
      <c r="H15" s="3"/>
      <c r="I15" s="3"/>
      <c r="J15" s="3"/>
      <c r="K15" s="3"/>
    </row>
  </sheetData>
  <mergeCells count="2">
    <mergeCell ref="B2:I2"/>
    <mergeCell ref="C4:K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19488-823C-4FA6-B7B5-AD5DC7F5F1A8}">
  <dimension ref="A1:S26"/>
  <sheetViews>
    <sheetView workbookViewId="0">
      <selection activeCell="S7" sqref="S7"/>
    </sheetView>
  </sheetViews>
  <sheetFormatPr defaultRowHeight="15" x14ac:dyDescent="0.25"/>
  <cols>
    <col min="1" max="1" width="11.28515625" bestFit="1" customWidth="1"/>
    <col min="2" max="2" width="10.42578125" bestFit="1" customWidth="1"/>
  </cols>
  <sheetData>
    <row r="1" spans="1:19" ht="15.75" thickBot="1" x14ac:dyDescent="0.3"/>
    <row r="2" spans="1:19" x14ac:dyDescent="0.25">
      <c r="A2" s="26" t="s">
        <v>37</v>
      </c>
      <c r="B2" s="27"/>
      <c r="C2" s="27"/>
      <c r="D2" s="28"/>
      <c r="E2" s="35"/>
      <c r="F2" s="35"/>
      <c r="G2" s="35"/>
      <c r="H2" s="35"/>
      <c r="I2" s="35"/>
      <c r="J2" s="35"/>
      <c r="K2" s="35"/>
      <c r="L2" s="35"/>
      <c r="M2" s="35"/>
      <c r="N2" s="35"/>
      <c r="O2" s="35"/>
      <c r="P2" s="35"/>
      <c r="Q2" s="35"/>
      <c r="R2" s="35"/>
      <c r="S2" s="35"/>
    </row>
    <row r="3" spans="1:19" ht="18.75" x14ac:dyDescent="0.3">
      <c r="A3" s="29" t="s">
        <v>38</v>
      </c>
      <c r="B3" s="30"/>
      <c r="C3" s="30"/>
      <c r="D3" s="31"/>
      <c r="E3" s="35"/>
      <c r="F3" s="35"/>
      <c r="G3" s="35"/>
      <c r="H3" s="35"/>
      <c r="I3" s="37" t="s">
        <v>42</v>
      </c>
      <c r="J3" s="37"/>
      <c r="K3" s="35"/>
      <c r="L3" s="35"/>
      <c r="M3" s="35"/>
      <c r="N3" s="35"/>
      <c r="O3" s="35"/>
      <c r="P3" s="35"/>
      <c r="Q3" s="35"/>
      <c r="R3" s="35"/>
      <c r="S3" s="35"/>
    </row>
    <row r="4" spans="1:19" x14ac:dyDescent="0.25">
      <c r="A4" s="29" t="s">
        <v>39</v>
      </c>
      <c r="B4" s="30"/>
      <c r="C4" s="30"/>
      <c r="D4" s="31"/>
      <c r="E4" s="35"/>
      <c r="F4" s="35"/>
      <c r="G4" s="35"/>
      <c r="H4" s="35"/>
      <c r="I4" s="35"/>
      <c r="J4" s="35"/>
      <c r="K4" s="35"/>
      <c r="L4" s="35"/>
      <c r="M4" s="35"/>
      <c r="N4" s="35"/>
      <c r="O4" s="35"/>
      <c r="P4" s="35"/>
      <c r="Q4" s="35"/>
      <c r="R4" s="35"/>
      <c r="S4" s="35"/>
    </row>
    <row r="5" spans="1:19" ht="15.75" thickBot="1" x14ac:dyDescent="0.3">
      <c r="A5" s="32" t="s">
        <v>40</v>
      </c>
      <c r="B5" s="33"/>
      <c r="C5" s="33"/>
      <c r="D5" s="34"/>
      <c r="E5" s="35"/>
      <c r="F5" s="35"/>
      <c r="G5" s="35"/>
      <c r="H5" s="35"/>
      <c r="I5" s="35"/>
      <c r="J5" s="35"/>
      <c r="K5" s="35"/>
      <c r="L5" s="35"/>
      <c r="M5" s="35"/>
      <c r="N5" s="35"/>
      <c r="O5" s="35"/>
      <c r="P5" s="35"/>
      <c r="Q5" s="35"/>
      <c r="R5" s="35"/>
      <c r="S5" s="35"/>
    </row>
    <row r="6" spans="1:19" x14ac:dyDescent="0.25">
      <c r="D6" s="35"/>
      <c r="E6" s="35"/>
      <c r="F6" s="35"/>
      <c r="G6" s="35"/>
      <c r="H6" s="35"/>
      <c r="I6" s="35"/>
      <c r="J6" s="35"/>
      <c r="K6" s="35"/>
      <c r="L6" s="35"/>
      <c r="M6" s="35"/>
      <c r="N6" s="35"/>
      <c r="O6" s="35"/>
      <c r="P6" s="35"/>
      <c r="Q6" s="35"/>
      <c r="R6" s="35"/>
      <c r="S6" s="35"/>
    </row>
    <row r="7" spans="1:19" x14ac:dyDescent="0.25">
      <c r="A7" s="9" t="s">
        <v>41</v>
      </c>
      <c r="B7" t="s">
        <v>33</v>
      </c>
      <c r="D7" s="35"/>
      <c r="E7" s="35"/>
      <c r="F7" s="35"/>
      <c r="G7" s="35"/>
      <c r="H7" s="35"/>
      <c r="I7" s="35"/>
      <c r="J7" s="35"/>
      <c r="K7" s="35"/>
      <c r="L7" s="35"/>
      <c r="M7" s="35"/>
      <c r="N7" s="35"/>
      <c r="O7" s="35"/>
      <c r="P7" s="35"/>
      <c r="Q7" s="35"/>
      <c r="R7" s="35"/>
      <c r="S7" s="35"/>
    </row>
    <row r="8" spans="1:19" x14ac:dyDescent="0.25">
      <c r="A8" s="7" t="s">
        <v>27</v>
      </c>
      <c r="B8" s="8">
        <v>703</v>
      </c>
      <c r="D8" s="35"/>
      <c r="E8" s="35"/>
      <c r="F8" s="35"/>
      <c r="G8" s="35"/>
      <c r="H8" s="35"/>
      <c r="I8" s="35"/>
      <c r="J8" s="35"/>
      <c r="K8" s="35"/>
      <c r="L8" s="35"/>
      <c r="M8" s="35"/>
      <c r="N8" s="35"/>
      <c r="O8" s="35"/>
      <c r="P8" s="35"/>
      <c r="Q8" s="35"/>
      <c r="R8" s="35"/>
      <c r="S8" s="35"/>
    </row>
    <row r="9" spans="1:19" x14ac:dyDescent="0.25">
      <c r="A9" s="7" t="s">
        <v>28</v>
      </c>
      <c r="B9" s="8">
        <v>281</v>
      </c>
      <c r="D9" s="35"/>
      <c r="E9" s="35"/>
      <c r="F9" s="35"/>
      <c r="G9" s="35"/>
      <c r="H9" s="35"/>
      <c r="I9" s="35"/>
      <c r="J9" s="35"/>
      <c r="K9" s="35"/>
      <c r="L9" s="35"/>
      <c r="M9" s="35"/>
      <c r="N9" s="35"/>
      <c r="O9" s="35"/>
      <c r="P9" s="35"/>
      <c r="Q9" s="35"/>
      <c r="R9" s="35"/>
      <c r="S9" s="35"/>
    </row>
    <row r="10" spans="1:19" x14ac:dyDescent="0.25">
      <c r="A10" s="7" t="s">
        <v>29</v>
      </c>
      <c r="B10" s="8">
        <v>76</v>
      </c>
      <c r="D10" s="35"/>
      <c r="E10" s="35"/>
      <c r="F10" s="35"/>
      <c r="G10" s="35"/>
      <c r="H10" s="35"/>
      <c r="I10" s="35"/>
      <c r="J10" s="35"/>
      <c r="K10" s="35"/>
      <c r="L10" s="35"/>
      <c r="M10" s="35"/>
      <c r="N10" s="35"/>
      <c r="O10" s="35"/>
      <c r="P10" s="35"/>
      <c r="Q10" s="35"/>
      <c r="R10" s="35"/>
      <c r="S10" s="35"/>
    </row>
    <row r="11" spans="1:19" x14ac:dyDescent="0.25">
      <c r="A11" s="7" t="s">
        <v>30</v>
      </c>
      <c r="B11" s="8">
        <v>672</v>
      </c>
      <c r="D11" s="35"/>
      <c r="E11" s="35"/>
      <c r="F11" s="35"/>
      <c r="G11" s="35"/>
      <c r="H11" s="35"/>
      <c r="I11" s="35"/>
      <c r="J11" s="35"/>
      <c r="K11" s="35"/>
      <c r="L11" s="35"/>
      <c r="M11" s="35"/>
      <c r="N11" s="35"/>
      <c r="O11" s="35"/>
      <c r="P11" s="35"/>
      <c r="Q11" s="35"/>
      <c r="R11" s="35"/>
      <c r="S11" s="35"/>
    </row>
    <row r="12" spans="1:19" x14ac:dyDescent="0.25">
      <c r="A12" s="7" t="s">
        <v>31</v>
      </c>
      <c r="B12" s="8">
        <v>789</v>
      </c>
      <c r="D12" s="35"/>
      <c r="E12" s="35"/>
      <c r="F12" s="35"/>
      <c r="G12" s="35"/>
      <c r="H12" s="35"/>
      <c r="I12" s="35"/>
      <c r="J12" s="35"/>
      <c r="K12" s="35"/>
      <c r="L12" s="35"/>
      <c r="M12" s="35"/>
      <c r="N12" s="35"/>
      <c r="O12" s="35"/>
      <c r="P12" s="35"/>
      <c r="Q12" s="35"/>
      <c r="R12" s="35"/>
      <c r="S12" s="35"/>
    </row>
    <row r="13" spans="1:19" x14ac:dyDescent="0.25">
      <c r="A13" s="7" t="s">
        <v>9</v>
      </c>
      <c r="B13" s="8">
        <v>2521</v>
      </c>
      <c r="D13" s="35"/>
      <c r="E13" s="35"/>
      <c r="F13" s="35"/>
      <c r="G13" s="35"/>
      <c r="H13" s="35"/>
      <c r="I13" s="35"/>
      <c r="J13" s="35"/>
      <c r="K13" s="35"/>
      <c r="L13" s="35"/>
      <c r="M13" s="35"/>
      <c r="N13" s="35"/>
      <c r="O13" s="35"/>
      <c r="P13" s="35"/>
      <c r="Q13" s="35"/>
      <c r="R13" s="35"/>
      <c r="S13" s="35"/>
    </row>
    <row r="14" spans="1:19" x14ac:dyDescent="0.25">
      <c r="D14" s="35"/>
      <c r="E14" s="35"/>
      <c r="F14" s="35"/>
      <c r="G14" s="35"/>
      <c r="H14" s="35"/>
      <c r="I14" s="35"/>
      <c r="J14" s="35"/>
      <c r="K14" s="35"/>
      <c r="L14" s="35"/>
      <c r="M14" s="35"/>
      <c r="N14" s="35"/>
      <c r="O14" s="35"/>
      <c r="P14" s="35"/>
      <c r="Q14" s="35"/>
      <c r="R14" s="35"/>
      <c r="S14" s="35"/>
    </row>
    <row r="15" spans="1:19" x14ac:dyDescent="0.25">
      <c r="D15" s="35"/>
      <c r="E15" s="35"/>
      <c r="F15" s="35"/>
      <c r="G15" s="35"/>
      <c r="H15" s="35"/>
      <c r="I15" s="35"/>
      <c r="J15" s="35"/>
      <c r="K15" s="35"/>
      <c r="L15" s="35"/>
      <c r="M15" s="35"/>
      <c r="N15" s="35"/>
      <c r="O15" s="35"/>
      <c r="P15" s="35"/>
      <c r="Q15" s="35"/>
      <c r="R15" s="35"/>
      <c r="S15" s="35"/>
    </row>
    <row r="16" spans="1:19" x14ac:dyDescent="0.25">
      <c r="D16" s="35"/>
      <c r="E16" s="35"/>
      <c r="F16" s="35"/>
      <c r="G16" s="35"/>
      <c r="H16" s="35"/>
      <c r="I16" s="35"/>
      <c r="J16" s="35"/>
      <c r="K16" s="35"/>
      <c r="L16" s="35"/>
      <c r="M16" s="35"/>
      <c r="N16" s="35"/>
      <c r="O16" s="35"/>
      <c r="P16" s="35"/>
      <c r="Q16" s="35"/>
      <c r="R16" s="35"/>
      <c r="S16" s="35"/>
    </row>
    <row r="17" spans="1:19" x14ac:dyDescent="0.25">
      <c r="A17" s="9" t="s">
        <v>13</v>
      </c>
      <c r="B17" t="s">
        <v>33</v>
      </c>
      <c r="D17" s="35"/>
      <c r="E17" s="35"/>
      <c r="F17" s="35"/>
      <c r="G17" s="35"/>
      <c r="H17" s="35"/>
      <c r="I17" s="35"/>
      <c r="J17" s="35"/>
      <c r="K17" s="35"/>
      <c r="L17" s="35"/>
      <c r="M17" s="35"/>
      <c r="N17" s="35"/>
      <c r="O17" s="35"/>
      <c r="P17" s="35"/>
      <c r="Q17" s="35"/>
      <c r="R17" s="35"/>
      <c r="S17" s="35"/>
    </row>
    <row r="18" spans="1:19" x14ac:dyDescent="0.25">
      <c r="A18" s="7" t="s">
        <v>5</v>
      </c>
      <c r="B18" s="25">
        <v>467</v>
      </c>
      <c r="D18" s="35"/>
      <c r="E18" s="35"/>
      <c r="F18" s="35"/>
      <c r="G18" s="35"/>
      <c r="H18" s="35"/>
      <c r="I18" s="35"/>
      <c r="J18" s="35"/>
      <c r="K18" s="35"/>
      <c r="L18" s="35"/>
      <c r="M18" s="35"/>
      <c r="N18" s="35"/>
      <c r="O18" s="35"/>
      <c r="P18" s="35"/>
      <c r="Q18" s="35"/>
      <c r="R18" s="35"/>
      <c r="S18" s="35"/>
    </row>
    <row r="19" spans="1:19" x14ac:dyDescent="0.25">
      <c r="A19" s="7" t="s">
        <v>7</v>
      </c>
      <c r="B19" s="25">
        <v>937</v>
      </c>
      <c r="D19" s="35"/>
      <c r="E19" s="35"/>
      <c r="F19" s="35"/>
      <c r="G19" s="35"/>
      <c r="H19" s="35"/>
      <c r="I19" s="35"/>
      <c r="J19" s="35"/>
      <c r="K19" s="35"/>
      <c r="L19" s="35"/>
      <c r="M19" s="35"/>
      <c r="N19" s="35"/>
      <c r="O19" s="35"/>
      <c r="P19" s="35"/>
      <c r="Q19" s="35"/>
      <c r="R19" s="35"/>
      <c r="S19" s="35"/>
    </row>
    <row r="20" spans="1:19" x14ac:dyDescent="0.25">
      <c r="A20" s="7" t="s">
        <v>8</v>
      </c>
      <c r="B20" s="25">
        <v>1117</v>
      </c>
      <c r="D20" s="35"/>
      <c r="E20" s="35"/>
      <c r="F20" s="35"/>
      <c r="G20" s="35"/>
      <c r="H20" s="35"/>
      <c r="I20" s="35"/>
      <c r="J20" s="35"/>
      <c r="K20" s="35"/>
      <c r="L20" s="35"/>
      <c r="M20" s="35"/>
      <c r="N20" s="35"/>
      <c r="O20" s="35"/>
      <c r="P20" s="35"/>
      <c r="Q20" s="35"/>
      <c r="R20" s="35"/>
      <c r="S20" s="35"/>
    </row>
    <row r="21" spans="1:19" x14ac:dyDescent="0.25">
      <c r="A21" s="7" t="s">
        <v>9</v>
      </c>
      <c r="B21" s="25">
        <v>2521</v>
      </c>
      <c r="D21" s="35"/>
      <c r="E21" s="35"/>
      <c r="F21" s="35"/>
      <c r="G21" s="35"/>
      <c r="H21" s="35"/>
      <c r="I21" s="35"/>
      <c r="J21" s="35"/>
      <c r="K21" s="35"/>
      <c r="L21" s="35"/>
      <c r="M21" s="35"/>
      <c r="N21" s="35"/>
      <c r="O21" s="35"/>
      <c r="P21" s="35"/>
      <c r="Q21" s="35"/>
      <c r="R21" s="35"/>
      <c r="S21" s="35"/>
    </row>
    <row r="22" spans="1:19" x14ac:dyDescent="0.25">
      <c r="D22" s="35"/>
      <c r="E22" s="35"/>
      <c r="F22" s="35"/>
      <c r="G22" s="35"/>
      <c r="H22" s="35"/>
      <c r="I22" s="35"/>
      <c r="J22" s="35"/>
      <c r="K22" s="35"/>
      <c r="L22" s="35"/>
      <c r="M22" s="35"/>
      <c r="N22" s="35"/>
      <c r="O22" s="35"/>
      <c r="P22" s="35"/>
      <c r="Q22" s="35"/>
      <c r="R22" s="35"/>
      <c r="S22" s="35"/>
    </row>
    <row r="23" spans="1:19" x14ac:dyDescent="0.25">
      <c r="D23" s="35"/>
      <c r="E23" s="35"/>
      <c r="F23" s="35"/>
      <c r="G23" s="35"/>
      <c r="H23" s="35"/>
      <c r="I23" s="35"/>
      <c r="J23" s="35"/>
      <c r="K23" s="35"/>
      <c r="L23" s="35"/>
      <c r="M23" s="35"/>
      <c r="N23" s="35"/>
      <c r="O23" s="35"/>
      <c r="P23" s="35"/>
      <c r="Q23" s="35"/>
      <c r="R23" s="35"/>
      <c r="S23" s="35"/>
    </row>
    <row r="24" spans="1:19" x14ac:dyDescent="0.25">
      <c r="D24" s="35"/>
      <c r="E24" s="35"/>
      <c r="F24" s="35"/>
      <c r="G24" s="35"/>
      <c r="H24" s="35"/>
      <c r="I24" s="35"/>
      <c r="J24" s="35"/>
      <c r="K24" s="35"/>
      <c r="L24" s="35"/>
      <c r="M24" s="35"/>
      <c r="N24" s="35"/>
      <c r="O24" s="35"/>
      <c r="P24" s="35"/>
      <c r="Q24" s="35"/>
      <c r="R24" s="35"/>
      <c r="S24" s="35"/>
    </row>
    <row r="25" spans="1:19" x14ac:dyDescent="0.25">
      <c r="D25" s="35"/>
      <c r="E25" s="35"/>
      <c r="F25" s="35"/>
      <c r="G25" s="35"/>
      <c r="H25" s="35"/>
      <c r="I25" s="35"/>
      <c r="J25" s="35"/>
      <c r="K25" s="35"/>
      <c r="L25" s="35"/>
      <c r="M25" s="35"/>
      <c r="N25" s="35"/>
      <c r="O25" s="35"/>
      <c r="P25" s="35"/>
      <c r="Q25" s="35"/>
      <c r="R25" s="35"/>
      <c r="S25" s="35"/>
    </row>
    <row r="26" spans="1:19" x14ac:dyDescent="0.25">
      <c r="D26" s="35"/>
      <c r="E26" s="35"/>
      <c r="F26" s="35"/>
      <c r="G26" s="35"/>
      <c r="H26" s="35"/>
      <c r="I26" s="35"/>
      <c r="J26" s="35"/>
      <c r="K26" s="35"/>
      <c r="L26" s="35"/>
      <c r="M26" s="35"/>
      <c r="N26" s="35"/>
      <c r="O26" s="35"/>
      <c r="P26" s="35"/>
      <c r="Q26" s="35"/>
      <c r="R26" s="35"/>
      <c r="S26" s="35"/>
    </row>
  </sheetData>
  <mergeCells count="4">
    <mergeCell ref="A2:D2"/>
    <mergeCell ref="A3:D3"/>
    <mergeCell ref="A4:D4"/>
    <mergeCell ref="A5:D5"/>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3BB49-7382-41A8-B455-6568A8921C98}">
  <dimension ref="A2:L11"/>
  <sheetViews>
    <sheetView workbookViewId="0">
      <selection activeCell="E15" sqref="E15"/>
    </sheetView>
  </sheetViews>
  <sheetFormatPr defaultRowHeight="15" x14ac:dyDescent="0.25"/>
  <cols>
    <col min="1" max="1" width="11.28515625" bestFit="1" customWidth="1"/>
    <col min="2" max="2" width="15.7109375" bestFit="1" customWidth="1"/>
  </cols>
  <sheetData>
    <row r="2" spans="1:12" x14ac:dyDescent="0.25">
      <c r="D2" s="5" t="s">
        <v>43</v>
      </c>
      <c r="E2" s="6"/>
      <c r="F2" s="6"/>
      <c r="G2" s="6"/>
      <c r="H2" s="6"/>
      <c r="I2" s="6"/>
      <c r="J2" s="6"/>
      <c r="K2" s="6"/>
      <c r="L2" s="6"/>
    </row>
    <row r="3" spans="1:12" x14ac:dyDescent="0.25">
      <c r="A3" s="9" t="s">
        <v>41</v>
      </c>
      <c r="B3" s="8" t="s">
        <v>46</v>
      </c>
    </row>
    <row r="4" spans="1:12" ht="15" customHeight="1" x14ac:dyDescent="0.25">
      <c r="A4" s="7" t="s">
        <v>27</v>
      </c>
      <c r="B4" s="8">
        <v>320.25</v>
      </c>
      <c r="D4" t="s">
        <v>44</v>
      </c>
      <c r="E4" s="3" t="s">
        <v>45</v>
      </c>
      <c r="F4" s="3"/>
      <c r="G4" s="3"/>
      <c r="H4" s="3"/>
      <c r="I4" s="3"/>
      <c r="J4" s="3"/>
      <c r="K4" s="3"/>
      <c r="L4" s="3"/>
    </row>
    <row r="5" spans="1:12" x14ac:dyDescent="0.25">
      <c r="A5" s="7" t="s">
        <v>28</v>
      </c>
      <c r="B5" s="8">
        <v>344</v>
      </c>
      <c r="E5" s="3"/>
      <c r="F5" s="3"/>
      <c r="G5" s="3"/>
      <c r="H5" s="3"/>
      <c r="I5" s="3"/>
      <c r="J5" s="3"/>
      <c r="K5" s="3"/>
      <c r="L5" s="3"/>
    </row>
    <row r="6" spans="1:12" x14ac:dyDescent="0.25">
      <c r="A6" s="7" t="s">
        <v>29</v>
      </c>
      <c r="B6" s="8">
        <v>319.33333333333331</v>
      </c>
      <c r="E6" s="3"/>
      <c r="F6" s="3"/>
      <c r="G6" s="3"/>
      <c r="H6" s="3"/>
      <c r="I6" s="3"/>
      <c r="J6" s="3"/>
      <c r="K6" s="3"/>
      <c r="L6" s="3"/>
    </row>
    <row r="7" spans="1:12" x14ac:dyDescent="0.25">
      <c r="A7" s="7" t="s">
        <v>30</v>
      </c>
      <c r="B7" s="8">
        <v>385</v>
      </c>
      <c r="E7" s="3"/>
      <c r="F7" s="3"/>
      <c r="G7" s="3"/>
      <c r="H7" s="3"/>
      <c r="I7" s="3"/>
      <c r="J7" s="3"/>
      <c r="K7" s="3"/>
      <c r="L7" s="3"/>
    </row>
    <row r="8" spans="1:12" x14ac:dyDescent="0.25">
      <c r="A8" s="7" t="s">
        <v>31</v>
      </c>
      <c r="B8" s="8">
        <v>428.66666666666669</v>
      </c>
      <c r="E8" s="3"/>
      <c r="F8" s="3"/>
      <c r="G8" s="3"/>
      <c r="H8" s="3"/>
      <c r="I8" s="3"/>
      <c r="J8" s="3"/>
      <c r="K8" s="3"/>
      <c r="L8" s="3"/>
    </row>
    <row r="9" spans="1:12" x14ac:dyDescent="0.25">
      <c r="A9" s="7" t="s">
        <v>32</v>
      </c>
      <c r="B9" s="8">
        <v>279.25</v>
      </c>
      <c r="E9" s="3"/>
      <c r="F9" s="3"/>
      <c r="G9" s="3"/>
      <c r="H9" s="3"/>
      <c r="I9" s="3"/>
      <c r="J9" s="3"/>
      <c r="K9" s="3"/>
      <c r="L9" s="3"/>
    </row>
    <row r="10" spans="1:12" x14ac:dyDescent="0.25">
      <c r="A10" s="7" t="s">
        <v>9</v>
      </c>
      <c r="B10" s="8">
        <v>341.45</v>
      </c>
      <c r="E10" s="3"/>
      <c r="F10" s="3"/>
      <c r="G10" s="3"/>
      <c r="H10" s="3"/>
      <c r="I10" s="3"/>
      <c r="J10" s="3"/>
      <c r="K10" s="3"/>
      <c r="L10" s="3"/>
    </row>
    <row r="11" spans="1:12" x14ac:dyDescent="0.25">
      <c r="E11" s="3"/>
      <c r="F11" s="3"/>
      <c r="G11" s="3"/>
      <c r="H11" s="3"/>
      <c r="I11" s="3"/>
      <c r="J11" s="3"/>
      <c r="K11" s="3"/>
      <c r="L11" s="3"/>
    </row>
  </sheetData>
  <mergeCells count="2">
    <mergeCell ref="D2:L2"/>
    <mergeCell ref="E4:L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253A-6D22-4B2A-A291-A5260DEE75D8}">
  <dimension ref="A1:I25"/>
  <sheetViews>
    <sheetView tabSelected="1" zoomScaleNormal="100" workbookViewId="0">
      <selection activeCell="I18" sqref="I18"/>
    </sheetView>
  </sheetViews>
  <sheetFormatPr defaultRowHeight="15" x14ac:dyDescent="0.25"/>
  <cols>
    <col min="1" max="1" width="17.28515625" customWidth="1"/>
    <col min="7" max="7" width="13.140625" bestFit="1" customWidth="1"/>
    <col min="8" max="9" width="12.140625" bestFit="1" customWidth="1"/>
  </cols>
  <sheetData>
    <row r="1" spans="1:9" x14ac:dyDescent="0.25">
      <c r="A1" s="38"/>
      <c r="B1" s="38"/>
      <c r="C1" s="38"/>
      <c r="D1" s="38"/>
      <c r="E1" s="38"/>
      <c r="F1" s="38"/>
      <c r="G1" s="38"/>
      <c r="H1" s="38"/>
      <c r="I1" s="38"/>
    </row>
    <row r="2" spans="1:9" x14ac:dyDescent="0.25">
      <c r="A2" s="36" t="s">
        <v>47</v>
      </c>
      <c r="B2" s="40"/>
      <c r="C2" s="40"/>
      <c r="D2" s="40"/>
      <c r="E2" s="40"/>
      <c r="F2" s="40"/>
      <c r="G2" s="40"/>
      <c r="H2" s="40"/>
      <c r="I2" s="40"/>
    </row>
    <row r="5" spans="1:9" x14ac:dyDescent="0.25">
      <c r="A5" s="14" t="s">
        <v>12</v>
      </c>
      <c r="B5" s="14" t="s">
        <v>13</v>
      </c>
      <c r="C5" s="14" t="s">
        <v>14</v>
      </c>
      <c r="D5" s="14" t="s">
        <v>15</v>
      </c>
      <c r="E5" s="14" t="s">
        <v>16</v>
      </c>
      <c r="F5" s="39" t="s">
        <v>48</v>
      </c>
      <c r="H5" s="9" t="s">
        <v>3</v>
      </c>
      <c r="I5" s="8" t="s">
        <v>26</v>
      </c>
    </row>
    <row r="6" spans="1:9" x14ac:dyDescent="0.25">
      <c r="A6" s="16">
        <v>45292</v>
      </c>
      <c r="B6" s="15" t="s">
        <v>8</v>
      </c>
      <c r="C6" s="15" t="s">
        <v>17</v>
      </c>
      <c r="D6" s="15">
        <v>456</v>
      </c>
      <c r="E6" s="15">
        <v>93</v>
      </c>
      <c r="F6" s="11" t="str">
        <f>IF(OR(C6="Apples",C6="Oranges"),"Fruits",C6)</f>
        <v>Mangoes</v>
      </c>
      <c r="H6" s="7" t="s">
        <v>49</v>
      </c>
      <c r="I6" s="8">
        <v>4308</v>
      </c>
    </row>
    <row r="7" spans="1:9" x14ac:dyDescent="0.25">
      <c r="A7" s="16">
        <v>45301.526319444441</v>
      </c>
      <c r="B7" s="15" t="s">
        <v>7</v>
      </c>
      <c r="C7" s="15" t="s">
        <v>18</v>
      </c>
      <c r="D7" s="15">
        <v>348</v>
      </c>
      <c r="E7" s="15">
        <v>56</v>
      </c>
      <c r="F7" s="11" t="str">
        <f t="shared" ref="F7:F25" si="0">IF(OR(C7="Apples",C7="Oranges"),"Fruits",C7)</f>
        <v>Fruits</v>
      </c>
      <c r="H7" s="7" t="s">
        <v>17</v>
      </c>
      <c r="I7" s="8">
        <v>2521</v>
      </c>
    </row>
    <row r="8" spans="1:9" x14ac:dyDescent="0.25">
      <c r="A8" s="16">
        <v>45311.052627314813</v>
      </c>
      <c r="B8" s="15" t="s">
        <v>7</v>
      </c>
      <c r="C8" s="15" t="s">
        <v>17</v>
      </c>
      <c r="D8" s="15">
        <v>247</v>
      </c>
      <c r="E8" s="15">
        <v>76</v>
      </c>
      <c r="F8" s="11" t="str">
        <f t="shared" si="0"/>
        <v>Mangoes</v>
      </c>
      <c r="H8" s="7" t="s">
        <v>9</v>
      </c>
      <c r="I8" s="8">
        <v>6829</v>
      </c>
    </row>
    <row r="9" spans="1:9" x14ac:dyDescent="0.25">
      <c r="A9" s="16">
        <v>45320.578946759262</v>
      </c>
      <c r="B9" s="15" t="s">
        <v>8</v>
      </c>
      <c r="C9" s="15" t="s">
        <v>19</v>
      </c>
      <c r="D9" s="15">
        <v>230</v>
      </c>
      <c r="E9" s="15">
        <v>37</v>
      </c>
      <c r="F9" s="11" t="str">
        <f t="shared" si="0"/>
        <v>Fruits</v>
      </c>
    </row>
    <row r="10" spans="1:9" x14ac:dyDescent="0.25">
      <c r="A10" s="16">
        <v>45330.105266203704</v>
      </c>
      <c r="B10" s="15" t="s">
        <v>8</v>
      </c>
      <c r="C10" s="15" t="s">
        <v>17</v>
      </c>
      <c r="D10" s="15">
        <v>281</v>
      </c>
      <c r="E10" s="15">
        <v>50</v>
      </c>
      <c r="F10" s="11" t="str">
        <f t="shared" si="0"/>
        <v>Mangoes</v>
      </c>
      <c r="G10" t="s">
        <v>1</v>
      </c>
      <c r="H10" s="7"/>
    </row>
    <row r="11" spans="1:9" x14ac:dyDescent="0.25">
      <c r="A11" s="16">
        <v>45339.631574074076</v>
      </c>
      <c r="B11" s="15" t="s">
        <v>8</v>
      </c>
      <c r="C11" s="15" t="s">
        <v>18</v>
      </c>
      <c r="D11" s="15">
        <v>334</v>
      </c>
      <c r="E11" s="15">
        <v>52</v>
      </c>
      <c r="F11" s="11" t="str">
        <f t="shared" si="0"/>
        <v>Fruits</v>
      </c>
    </row>
    <row r="12" spans="1:9" x14ac:dyDescent="0.25">
      <c r="A12" s="16">
        <v>45349.157893518517</v>
      </c>
      <c r="B12" s="15" t="s">
        <v>7</v>
      </c>
      <c r="C12" s="15" t="s">
        <v>19</v>
      </c>
      <c r="D12" s="15">
        <v>417</v>
      </c>
      <c r="E12" s="15">
        <v>29</v>
      </c>
      <c r="F12" s="11" t="str">
        <f t="shared" si="0"/>
        <v>Fruits</v>
      </c>
    </row>
    <row r="13" spans="1:9" x14ac:dyDescent="0.25">
      <c r="A13" s="16">
        <v>45358.684212962966</v>
      </c>
      <c r="B13" s="15" t="s">
        <v>8</v>
      </c>
      <c r="C13" s="15" t="s">
        <v>19</v>
      </c>
      <c r="D13" s="15">
        <v>441</v>
      </c>
      <c r="E13" s="15">
        <v>44</v>
      </c>
      <c r="F13" s="11" t="str">
        <f t="shared" si="0"/>
        <v>Fruits</v>
      </c>
    </row>
    <row r="14" spans="1:9" x14ac:dyDescent="0.25">
      <c r="A14" s="16">
        <v>45368.210520833331</v>
      </c>
      <c r="B14" s="15" t="s">
        <v>7</v>
      </c>
      <c r="C14" s="15" t="s">
        <v>17</v>
      </c>
      <c r="D14" s="15">
        <v>76</v>
      </c>
      <c r="E14" s="15">
        <v>63</v>
      </c>
      <c r="F14" s="11" t="str">
        <f t="shared" si="0"/>
        <v>Mangoes</v>
      </c>
    </row>
    <row r="15" spans="1:9" x14ac:dyDescent="0.25">
      <c r="A15" s="16">
        <v>45377.736840277779</v>
      </c>
      <c r="B15" s="15" t="s">
        <v>8</v>
      </c>
      <c r="C15" s="15" t="s">
        <v>18</v>
      </c>
      <c r="D15" s="15">
        <v>441</v>
      </c>
      <c r="E15" s="15">
        <v>79</v>
      </c>
      <c r="F15" s="11" t="str">
        <f t="shared" si="0"/>
        <v>Fruits</v>
      </c>
    </row>
    <row r="16" spans="1:9" x14ac:dyDescent="0.25">
      <c r="A16" s="16">
        <v>45387.263159722221</v>
      </c>
      <c r="B16" s="15" t="s">
        <v>7</v>
      </c>
      <c r="C16" s="15" t="s">
        <v>17</v>
      </c>
      <c r="D16" s="15">
        <v>205</v>
      </c>
      <c r="E16" s="15">
        <v>23</v>
      </c>
      <c r="F16" s="11" t="str">
        <f t="shared" si="0"/>
        <v>Mangoes</v>
      </c>
    </row>
    <row r="17" spans="1:6" x14ac:dyDescent="0.25">
      <c r="A17" s="16">
        <v>45396.789479166669</v>
      </c>
      <c r="B17" s="15" t="s">
        <v>8</v>
      </c>
      <c r="C17" s="15" t="s">
        <v>18</v>
      </c>
      <c r="D17" s="15">
        <v>483</v>
      </c>
      <c r="E17" s="15">
        <v>97</v>
      </c>
      <c r="F17" s="11" t="str">
        <f t="shared" si="0"/>
        <v>Fruits</v>
      </c>
    </row>
    <row r="18" spans="1:6" x14ac:dyDescent="0.25">
      <c r="A18" s="16">
        <v>45406.315787037034</v>
      </c>
      <c r="B18" s="15" t="s">
        <v>5</v>
      </c>
      <c r="C18" s="15" t="s">
        <v>17</v>
      </c>
      <c r="D18" s="15">
        <v>467</v>
      </c>
      <c r="E18" s="15">
        <v>97</v>
      </c>
      <c r="F18" s="11" t="str">
        <f t="shared" si="0"/>
        <v>Mangoes</v>
      </c>
    </row>
    <row r="19" spans="1:6" x14ac:dyDescent="0.25">
      <c r="A19" s="16">
        <v>45415.842106481483</v>
      </c>
      <c r="B19" s="15" t="s">
        <v>8</v>
      </c>
      <c r="C19" s="15" t="s">
        <v>17</v>
      </c>
      <c r="D19" s="15">
        <v>380</v>
      </c>
      <c r="E19" s="15">
        <v>92</v>
      </c>
      <c r="F19" s="11" t="str">
        <f t="shared" si="0"/>
        <v>Mangoes</v>
      </c>
    </row>
    <row r="20" spans="1:6" x14ac:dyDescent="0.25">
      <c r="A20" s="16">
        <v>45425.368425925924</v>
      </c>
      <c r="B20" s="15" t="s">
        <v>7</v>
      </c>
      <c r="C20" s="15" t="s">
        <v>18</v>
      </c>
      <c r="D20" s="15">
        <v>497</v>
      </c>
      <c r="E20" s="15">
        <v>71</v>
      </c>
      <c r="F20" s="11" t="str">
        <f t="shared" si="0"/>
        <v>Fruits</v>
      </c>
    </row>
    <row r="21" spans="1:6" x14ac:dyDescent="0.25">
      <c r="A21" s="16">
        <v>45434.894733796296</v>
      </c>
      <c r="B21" s="15" t="s">
        <v>7</v>
      </c>
      <c r="C21" s="15" t="s">
        <v>17</v>
      </c>
      <c r="D21" s="15">
        <v>409</v>
      </c>
      <c r="E21" s="15">
        <v>81</v>
      </c>
      <c r="F21" s="11" t="str">
        <f t="shared" si="0"/>
        <v>Mangoes</v>
      </c>
    </row>
    <row r="22" spans="1:6" x14ac:dyDescent="0.25">
      <c r="A22" s="16">
        <v>45444.421053240738</v>
      </c>
      <c r="B22" s="15" t="s">
        <v>8</v>
      </c>
      <c r="C22" s="15" t="s">
        <v>18</v>
      </c>
      <c r="D22" s="15">
        <v>53</v>
      </c>
      <c r="E22" s="15">
        <v>45</v>
      </c>
      <c r="F22" s="11" t="str">
        <f t="shared" si="0"/>
        <v>Fruits</v>
      </c>
    </row>
    <row r="23" spans="1:6" x14ac:dyDescent="0.25">
      <c r="A23" s="16">
        <v>45453.947372685187</v>
      </c>
      <c r="B23" s="15" t="s">
        <v>8</v>
      </c>
      <c r="C23" s="15" t="s">
        <v>19</v>
      </c>
      <c r="D23" s="15">
        <v>398</v>
      </c>
      <c r="E23" s="15">
        <v>33</v>
      </c>
      <c r="F23" s="11" t="str">
        <f t="shared" si="0"/>
        <v>Fruits</v>
      </c>
    </row>
    <row r="24" spans="1:6" x14ac:dyDescent="0.25">
      <c r="A24" s="16">
        <v>45463.473680555559</v>
      </c>
      <c r="B24" s="15" t="s">
        <v>6</v>
      </c>
      <c r="C24" s="15" t="s">
        <v>18</v>
      </c>
      <c r="D24" s="15">
        <v>347</v>
      </c>
      <c r="E24" s="15">
        <v>35</v>
      </c>
      <c r="F24" s="11" t="str">
        <f t="shared" si="0"/>
        <v>Fruits</v>
      </c>
    </row>
    <row r="25" spans="1:6" x14ac:dyDescent="0.25">
      <c r="A25" s="16">
        <v>45473</v>
      </c>
      <c r="B25" s="15" t="s">
        <v>7</v>
      </c>
      <c r="C25" s="15" t="s">
        <v>19</v>
      </c>
      <c r="D25" s="15">
        <v>319</v>
      </c>
      <c r="E25" s="15">
        <v>45</v>
      </c>
      <c r="F25" s="11" t="str">
        <f t="shared" si="0"/>
        <v>Fruits</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Question=1</vt:lpstr>
      <vt:lpstr>Question=2</vt:lpstr>
      <vt:lpstr>Question=3</vt:lpstr>
      <vt:lpstr>Question= 4</vt:lpstr>
      <vt:lpstr>Question= 5</vt:lpstr>
      <vt:lpstr>Question= 6</vt:lpstr>
      <vt:lpstr>Question= 7</vt:lpstr>
      <vt:lpstr>Question- 8</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poonam yadav</dc:creator>
  <cp:lastModifiedBy>poonam yadav</cp:lastModifiedBy>
  <dcterms:created xsi:type="dcterms:W3CDTF">2025-11-24T20:02:47Z</dcterms:created>
  <dcterms:modified xsi:type="dcterms:W3CDTF">2025-11-24T22:32:21Z</dcterms:modified>
</cp:coreProperties>
</file>